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10\02 Com-Reports\"/>
    </mc:Choice>
  </mc:AlternateContent>
  <bookViews>
    <workbookView xWindow="120" yWindow="300" windowWidth="12120" windowHeight="8940" tabRatio="697" activeTab="5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<sst xmlns="http://schemas.openxmlformats.org/spreadsheetml/2006/main" count="417" uniqueCount="107">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</sst>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47" t="str">
        <f>IFERROR(VLOOKUP(A11,Table1[#All],3,0),"")</f>
        <v/>
      </c>
      <c r="G11" s="147"/>
      <c r="H11" s="147"/>
      <c r="I11" s="147"/>
      <c r="J11" s="147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47" t="str">
        <f>IFERROR(VLOOKUP(A12,Table1[#All],3,0),"")</f>
        <v/>
      </c>
      <c r="G12" s="147"/>
      <c r="H12" s="147"/>
      <c r="I12" s="147"/>
      <c r="J12" s="147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47" t="str">
        <f>IFERROR(VLOOKUP(A13,Table1[#All],3,0),"")</f>
        <v/>
      </c>
      <c r="G13" s="147"/>
      <c r="H13" s="147"/>
      <c r="I13" s="147"/>
      <c r="J13" s="147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47" t="str">
        <f>IFERROR(VLOOKUP(A14,Table1[#All],3,0),"")</f>
        <v/>
      </c>
      <c r="G14" s="147"/>
      <c r="H14" s="147"/>
      <c r="I14" s="147"/>
      <c r="J14" s="147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47" t="str">
        <f>IFERROR(VLOOKUP(A15,Table1[#All],3,0),"")</f>
        <v/>
      </c>
      <c r="G15" s="147"/>
      <c r="H15" s="147"/>
      <c r="I15" s="147"/>
      <c r="J15" s="147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47" t="str">
        <f>IFERROR(VLOOKUP(A16,Table1[#All],3,0),"")</f>
        <v/>
      </c>
      <c r="G16" s="147"/>
      <c r="H16" s="147"/>
      <c r="I16" s="147"/>
      <c r="J16" s="147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47" t="str">
        <f>IFERROR(VLOOKUP(A17,Table1[#All],3,0),"")</f>
        <v/>
      </c>
      <c r="G17" s="147"/>
      <c r="H17" s="147"/>
      <c r="I17" s="147"/>
      <c r="J17" s="147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47" t="str">
        <f>IFERROR(VLOOKUP(A18,Table1[#All],3,0),"")</f>
        <v/>
      </c>
      <c r="G18" s="147"/>
      <c r="H18" s="147"/>
      <c r="I18" s="147"/>
      <c r="J18" s="147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47" t="str">
        <f>IFERROR(VLOOKUP(A19,Table1[#All],3,0),"")</f>
        <v/>
      </c>
      <c r="G19" s="147"/>
      <c r="H19" s="147"/>
      <c r="I19" s="147"/>
      <c r="J19" s="147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47" t="str">
        <f>IFERROR(VLOOKUP(A20,Table1[#All],3,0),"")</f>
        <v/>
      </c>
      <c r="G20" s="147"/>
      <c r="H20" s="147"/>
      <c r="I20" s="147"/>
      <c r="J20" s="147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48" t="str">
        <f>NoToTxt(I22,"جنيها","قرش")&amp;" لاغير"</f>
        <v>صفر لاغير</v>
      </c>
      <c r="K22" s="148"/>
      <c r="L22" s="149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43" t="s">
        <v>6</v>
      </c>
      <c r="E25" s="143"/>
      <c r="F25" s="143"/>
      <c r="G25" s="143"/>
      <c r="H25" s="143"/>
      <c r="I25" s="143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44" t="s">
        <v>51</v>
      </c>
      <c r="E26" s="144"/>
      <c r="F26" s="144"/>
      <c r="G26" s="144"/>
      <c r="H26" s="144"/>
      <c r="I26" s="144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44" t="s">
        <v>52</v>
      </c>
      <c r="E27" s="144"/>
      <c r="F27" s="144"/>
      <c r="G27" s="144"/>
      <c r="H27" s="144"/>
      <c r="I27" s="144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5"/>
      <c r="E28" s="146"/>
      <c r="F28" s="146"/>
      <c r="G28" s="146"/>
      <c r="H28" s="146"/>
      <c r="I28" s="146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5"/>
      <c r="E29" s="146"/>
      <c r="F29" s="146"/>
      <c r="G29" s="146"/>
      <c r="H29" s="146"/>
      <c r="I29" s="146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51" t="s">
        <v>9</v>
      </c>
      <c r="D30" s="152"/>
      <c r="E30" s="152"/>
      <c r="F30" s="152"/>
      <c r="G30" s="152"/>
      <c r="H30" s="152"/>
      <c r="I30" s="152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50" t="s">
        <v>17</v>
      </c>
      <c r="E33" s="150"/>
      <c r="F33" s="150"/>
      <c r="G33" s="150"/>
      <c r="H33" s="150"/>
      <c r="I33" s="150"/>
      <c r="J33" s="150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50" t="s">
        <v>19</v>
      </c>
      <c r="E35" s="150"/>
      <c r="F35" s="150"/>
      <c r="G35" s="153"/>
      <c r="H35" s="150"/>
      <c r="I35" s="150"/>
      <c r="J35" s="150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54" t="s">
        <v>48</v>
      </c>
      <c r="E36" s="155"/>
      <c r="F36" s="155"/>
      <c r="G36" s="155"/>
      <c r="H36" s="155"/>
      <c r="I36" s="155"/>
      <c r="J36" s="156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50" t="s">
        <v>11</v>
      </c>
      <c r="E37" s="150"/>
      <c r="F37" s="150"/>
      <c r="G37" s="150"/>
      <c r="H37" s="150"/>
      <c r="I37" s="150"/>
      <c r="J37" s="150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54" t="s">
        <v>49</v>
      </c>
      <c r="E38" s="155"/>
      <c r="F38" s="155"/>
      <c r="G38" s="155"/>
      <c r="H38" s="155"/>
      <c r="I38" s="155"/>
      <c r="J38" s="156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54" t="s">
        <v>21</v>
      </c>
      <c r="E39" s="155"/>
      <c r="F39" s="155"/>
      <c r="G39" s="155"/>
      <c r="H39" s="155"/>
      <c r="I39" s="155"/>
      <c r="J39" s="156"/>
      <c r="K39" s="79"/>
      <c r="L39" s="101"/>
      <c r="M39" s="102"/>
    </row>
    <row r="40" spans="1:13" ht="30.75" customHeight="1" thickBot="1" x14ac:dyDescent="0.45">
      <c r="A40" s="84"/>
      <c r="B40" s="105"/>
      <c r="C40" s="151" t="s">
        <v>12</v>
      </c>
      <c r="D40" s="152"/>
      <c r="E40" s="152"/>
      <c r="F40" s="152"/>
      <c r="G40" s="152"/>
      <c r="H40" s="152"/>
      <c r="I40" s="152"/>
      <c r="J40" s="152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57" t="s">
        <v>30</v>
      </c>
      <c r="D42" s="157"/>
      <c r="E42" s="157"/>
      <c r="F42" s="157"/>
      <c r="G42" s="157"/>
      <c r="H42" s="157"/>
      <c r="I42" s="157"/>
      <c r="J42" s="157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58" t="s">
        <v>15</v>
      </c>
      <c r="C58" s="158"/>
      <c r="D58" s="99"/>
      <c r="E58" s="99"/>
      <c r="F58" s="99"/>
      <c r="G58" s="158" t="s">
        <v>16</v>
      </c>
      <c r="H58" s="158"/>
      <c r="I58" s="158"/>
      <c r="J58" s="158"/>
      <c r="K58" s="158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39" t="s">
        <v>29</v>
      </c>
      <c r="H59" s="140"/>
      <c r="I59" s="140"/>
      <c r="J59" s="140"/>
      <c r="K59" s="140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39" t="s">
        <v>29</v>
      </c>
      <c r="H60" s="140"/>
      <c r="I60" s="140"/>
      <c r="J60" s="140"/>
      <c r="K60" s="140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39" t="s">
        <v>29</v>
      </c>
      <c r="H61" s="140"/>
      <c r="I61" s="140"/>
      <c r="J61" s="140"/>
      <c r="K61" s="140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39" t="s">
        <v>29</v>
      </c>
      <c r="H62" s="140"/>
      <c r="I62" s="140"/>
      <c r="J62" s="140"/>
      <c r="K62" s="140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39" t="s">
        <v>29</v>
      </c>
      <c r="H63" s="140"/>
      <c r="I63" s="140"/>
      <c r="J63" s="140"/>
      <c r="K63" s="140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39" t="s">
        <v>29</v>
      </c>
      <c r="H64" s="140"/>
      <c r="I64" s="140"/>
      <c r="J64" s="140"/>
      <c r="K64" s="140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39" t="s">
        <v>29</v>
      </c>
      <c r="H65" s="140"/>
      <c r="I65" s="140"/>
      <c r="J65" s="140"/>
      <c r="K65" s="140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39" t="s">
        <v>29</v>
      </c>
      <c r="H66" s="140"/>
      <c r="I66" s="140"/>
      <c r="J66" s="140"/>
      <c r="K66" s="140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39" t="s">
        <v>29</v>
      </c>
      <c r="H67" s="140"/>
      <c r="I67" s="140"/>
      <c r="J67" s="140"/>
      <c r="K67" s="140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39" t="s">
        <v>29</v>
      </c>
      <c r="H68" s="140"/>
      <c r="I68" s="140"/>
      <c r="J68" s="140"/>
      <c r="K68" s="140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57" t="s">
        <v>30</v>
      </c>
      <c r="D70" s="157"/>
      <c r="E70" s="157"/>
      <c r="F70" s="157"/>
      <c r="G70" s="157"/>
      <c r="H70" s="157"/>
      <c r="I70" s="157"/>
      <c r="J70" s="157"/>
      <c r="K70" s="121"/>
      <c r="L70" s="129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89</v>
      </c>
      <c r="E26" s="164"/>
      <c r="F26" s="164"/>
      <c r="G26" s="164"/>
      <c r="H26" s="164"/>
      <c r="I26" s="164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90</v>
      </c>
      <c r="E27" s="164"/>
      <c r="F27" s="164"/>
      <c r="G27" s="164"/>
      <c r="H27" s="164"/>
      <c r="I27" s="164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100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4" t="s">
        <v>85</v>
      </c>
      <c r="E26" s="164"/>
      <c r="F26" s="164"/>
      <c r="G26" s="164"/>
      <c r="H26" s="164"/>
      <c r="I26" s="164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4" t="s">
        <v>86</v>
      </c>
      <c r="E27" s="164"/>
      <c r="F27" s="164"/>
      <c r="G27" s="164"/>
      <c r="H27" s="164"/>
      <c r="I27" s="164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2" t="s">
        <v>87</v>
      </c>
      <c r="E28" s="183"/>
      <c r="F28" s="183"/>
      <c r="G28" s="183"/>
      <c r="H28" s="183"/>
      <c r="I28" s="184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88</v>
      </c>
      <c r="E29" s="178"/>
      <c r="F29" s="178"/>
      <c r="G29" s="178"/>
      <c r="H29" s="178"/>
      <c r="I29" s="17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84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82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106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IFERROR(VLOOKUP(A11,DATA!B3:D21,3,0),"")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IFERROR(VLOOKUP(A12,DATA!B3:D22,3,0),"")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IFERROR(VLOOKUP(A13,DATA!B3:D23,3,0),"")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IFERROR(VLOOKUP(A14,DATA!B4:D24,3,0),"")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IFERROR(VLOOKUP(A15,DATA!B5:D25,3,0),"")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IFERROR(VLOOKUP(A16,DATA!B5:D26,3,0),"")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IFERROR(VLOOKUP(A17,DATA!B6:D27,3,0),"")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IFERROR(VLOOKUP(A18,DATA!B7:D28,3,0),"")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IFERROR(VLOOKUP(A19,DATA!B8:D29,3,0),"")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IFERROR(VLOOKUP(A20,DATA!B7:D28,3,0),"")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2" t="s">
        <v>92</v>
      </c>
      <c r="G21" s="192"/>
      <c r="H21" s="192"/>
      <c r="I21" s="192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tabSelected="1" view="pageBreakPreview" zoomScale="90" zoomScaleNormal="100" zoomScaleSheetLayoutView="90" workbookViewId="0">
      <selection activeCell="K37" sqref="K37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45678</v>
      </c>
      <c r="D10" s="44" t="s">
        <v>1</v>
      </c>
      <c r="E10" s="68">
        <v>45678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59" t="str">
        <f t="shared" ref="F11:F20" si="0">IFERROR(VLOOKUP(A11,الاعضاء,3,0),"")</f>
        <v>مدير التمويل متناهى الصغر بمحافظة قنا</v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9">
        <v>9</v>
      </c>
      <c r="B12" s="6" t="str">
        <f>IFERROR(VLOOKUP(A12,Table1[#All],2,0),"")</f>
        <v>وائل مترى ناشد</v>
      </c>
      <c r="C12" s="6"/>
      <c r="D12" s="6"/>
      <c r="E12" s="7"/>
      <c r="F12" s="159" t="str">
        <f t="shared" si="0"/>
        <v>مدير مكتب التمويل متناهى الصغر بفرشوط</v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9">
        <v>19</v>
      </c>
      <c r="B13" s="6" t="str">
        <f>IFERROR(VLOOKUP(A13,Table1[#All],2,0),"")</f>
        <v>هدرا وحيد دكران</v>
      </c>
      <c r="C13" s="6"/>
      <c r="D13" s="6"/>
      <c r="E13" s="7"/>
      <c r="F13" s="159" t="str">
        <f t="shared" si="0"/>
        <v>رئيس مجموعة مكتب التمويل بفرشوط</v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59" t="str">
        <f t="shared" si="0"/>
        <v>مشرف حسابات برامج التمويل متناهى الصغر</v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11</v>
      </c>
      <c r="G22" s="64" t="s">
        <v>2</v>
      </c>
      <c r="H22" s="63"/>
      <c r="I22" s="72">
        <v>254000</v>
      </c>
      <c r="J22" s="180" t="str">
        <f>NoToTxt(I22,"جنيها","قرش")&amp;" لاغير"</f>
        <v>فقط مائتان وأربعة وخمسون ألف جنيها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4" t="s">
        <v>96</v>
      </c>
      <c r="E26" s="164"/>
      <c r="F26" s="164"/>
      <c r="G26" s="164"/>
      <c r="H26" s="164"/>
      <c r="I26" s="164"/>
      <c r="J26" s="75">
        <v>4</v>
      </c>
      <c r="K26" s="77">
        <v>60000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4" t="s">
        <v>97</v>
      </c>
      <c r="E27" s="164"/>
      <c r="F27" s="164"/>
      <c r="G27" s="164"/>
      <c r="H27" s="164"/>
      <c r="I27" s="164"/>
      <c r="J27" s="75">
        <v>7</v>
      </c>
      <c r="K27" s="77">
        <v>194000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5">
        <f>J26+J27+J28</f>
        <v>11</v>
      </c>
      <c r="K31" s="77">
        <f>K26+K27+K28</f>
        <v>254000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7">
        <v>147623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98</v>
      </c>
      <c r="E37" s="170"/>
      <c r="F37" s="170"/>
      <c r="G37" s="170"/>
      <c r="H37" s="170"/>
      <c r="I37" s="170"/>
      <c r="J37" s="171"/>
      <c r="K37" s="78">
        <v>553238</v>
      </c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9">
        <v>446000</v>
      </c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6">
        <f>SUM(K34:K38)-K39</f>
        <v>254861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>الاستاذ سامح بلامون عبدالسيد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8" customHeight="1" x14ac:dyDescent="0.4">
      <c r="A60" s="133">
        <v>2</v>
      </c>
      <c r="B60" s="22" t="str">
        <f t="shared" si="1"/>
        <v>الاستاذ وائل مترى ناشد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8" customHeight="1" x14ac:dyDescent="0.4">
      <c r="A61" s="133">
        <v>3</v>
      </c>
      <c r="B61" s="22" t="str">
        <f t="shared" si="1"/>
        <v>الاستاذ هدرا وحيد دكران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8" customHeight="1" x14ac:dyDescent="0.4">
      <c r="A62" s="133">
        <v>4</v>
      </c>
      <c r="B62" s="22" t="str">
        <f t="shared" si="1"/>
        <v>الاستاذ عادل اديب ناشد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8" hidden="1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8" hidden="1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8" hidden="1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8" hidden="1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8" hidden="1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8" hidden="1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workbookViewId="0">
      <selection activeCell="C21" sqref="C21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2025-01-21T07:54:10Z</dcterms:modified>
</cp:coreProperties>
</file>