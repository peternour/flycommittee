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1-05\06 Helping-Files\"/>
    </mc:Choice>
  </mc:AlternateContent>
  <bookViews>
    <workbookView xWindow="0" yWindow="0" windowWidth="21600" windowHeight="9816"/>
  </bookViews>
  <sheets>
    <sheet name="Sheet1" sheetId="1" r:id="rId1"/>
  </sheets>
  <definedNames>
    <definedName name="_xlnm._FilterDatabase" localSheetId="0" hidden="1">Sheet1!$A$1:$S$1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16" i="1"/>
  <c r="K7" i="1"/>
  <c r="K8" i="1"/>
  <c r="K9" i="1"/>
  <c r="K4" i="1"/>
  <c r="K17" i="1"/>
  <c r="K10" i="1"/>
  <c r="K11" i="1"/>
  <c r="K12" i="1"/>
  <c r="K5" i="1"/>
  <c r="K18" i="1"/>
  <c r="K13" i="1"/>
  <c r="K14" i="1"/>
  <c r="K6" i="1"/>
  <c r="K15" i="1"/>
  <c r="K2" i="1"/>
</calcChain>
</file>

<file path=xl/sharedStrings.xml><?xml version="1.0" encoding="utf-8"?>
<sst xmlns="http://schemas.openxmlformats.org/spreadsheetml/2006/main" count="221" uniqueCount="101">
  <si>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</si>
  <si>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</si>
  <si>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</si>
  <si>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</si>
  <si>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</si>
  <si>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</si>
  <si>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</si>
  <si>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</si>
  <si>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</si>
  <si>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</si>
  <si>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</si>
  <si>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</si>
  <si>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</si>
  <si>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</si>
  <si>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</si>
  <si>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</si>
  <si>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</si>
  <si>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محمد حمدان حمدون عيسي</t>
  </si>
  <si>
    <t>ابانوب عاطف سعدى</t>
  </si>
  <si>
    <t>القمانة</t>
  </si>
  <si>
    <t>تجارة ملابس جاهزة حريمي</t>
  </si>
  <si>
    <t>تجارة أقمشة ومفروشات وملابس جاهزة</t>
  </si>
  <si>
    <t>تجارى</t>
  </si>
  <si>
    <t>ايدي في ايدك</t>
  </si>
  <si>
    <t>منزل محمد حمدان حمدون - شارع العمده - خلف الجمعيه الزراعيه - القمانه - نجع حمادي - قنا</t>
  </si>
  <si>
    <t>جمعية الصعيد للتربية و التنمية</t>
  </si>
  <si>
    <t>ايدي فى ايدك 29% شريحة ( أ ) 20000</t>
  </si>
  <si>
    <t>محمد رجب مبارك حسين</t>
  </si>
  <si>
    <t>اميل رفعت حبيب بساده</t>
  </si>
  <si>
    <t>القصر</t>
  </si>
  <si>
    <t>تربية و تسمين ماشية</t>
  </si>
  <si>
    <t>انتاج حيوانى و زراعي</t>
  </si>
  <si>
    <t>منزل رجب مبارك - ش الطربيش - القصر - نجع حمادي - قنا</t>
  </si>
  <si>
    <t>علاء ابوالوفا الضوي محمد</t>
  </si>
  <si>
    <t>مينا مخلف نسيم</t>
  </si>
  <si>
    <t>نجع حمادى</t>
  </si>
  <si>
    <t>تجارة خضار و فاكهة</t>
  </si>
  <si>
    <t>تجارة مواد غذائية</t>
  </si>
  <si>
    <t>منزل محمود محمد - العمارات السكنيه - بجوار رعايه الطفل - نجع حمادي - قنا</t>
  </si>
  <si>
    <t>احمد عبدالراضي ابراهيم رسلان</t>
  </si>
  <si>
    <t>كيرلس عاطف ثابت</t>
  </si>
  <si>
    <t>طهطا البلد</t>
  </si>
  <si>
    <t>منزل عبدالراضي ابراهيم - بجوار مسجد الحق - المصالحه - نجع حمادي - قنا</t>
  </si>
  <si>
    <t>عاصم عزت محمد صادق</t>
  </si>
  <si>
    <t>نصحى مقار نصحى</t>
  </si>
  <si>
    <t>اولاد نجم</t>
  </si>
  <si>
    <t>ترزى رجالي</t>
  </si>
  <si>
    <t>اعمال التفصيل</t>
  </si>
  <si>
    <t>خدمى</t>
  </si>
  <si>
    <t>منزل عزت محمد - بجوار مسجد نجع رمادي الغربي - اولادنجم التمه - نجع حمادي - قنا</t>
  </si>
  <si>
    <t>منزل محمد عصام - بجوار البوسته - اولاد نجم التمه - نجع حمادي - قنا</t>
  </si>
  <si>
    <t>ايدى فى ايدك 30% شريحة ( ب ) 50000</t>
  </si>
  <si>
    <t>يسريه احمد محمد السمان</t>
  </si>
  <si>
    <t>ترزى حريمي</t>
  </si>
  <si>
    <t>منزل عاصم عزت - بجوار مسجد ابو رواي - اولاد نجم التمه - نجع حمادي - قنا</t>
  </si>
  <si>
    <t>محمود علي احمد محمد</t>
  </si>
  <si>
    <t>زليتم</t>
  </si>
  <si>
    <t>منزل علي احمد - بجوار المدرسه الاعداديه - زليتم - مركز نجع حمادي- قنا</t>
  </si>
  <si>
    <t>احمد علي احمد محمد</t>
  </si>
  <si>
    <t>اميره عزت محمد صادق</t>
  </si>
  <si>
    <t>منزل شرقاوي محمد - بجوار البوسته - اولاد نجم - مركز نجع حمادي - قنا</t>
  </si>
  <si>
    <t>مرتينا عادل نجيب سدراك</t>
  </si>
  <si>
    <t>بهجوره</t>
  </si>
  <si>
    <t>تجارة اخشاب</t>
  </si>
  <si>
    <t>تجارة اخشاب واثاث</t>
  </si>
  <si>
    <t>البنك الاهلى المصري</t>
  </si>
  <si>
    <t>منزل صبحي نعيم بجوارالنقطه خلف مدرسه داود - بهجوره - نجع حمادي - قنا</t>
  </si>
  <si>
    <t>ملك ماهر فيكتور بجوار النقطه خلف مدرسه داود - بهجوره - نجع حمادي - قنا</t>
  </si>
  <si>
    <t>تمويل البنك الاهلي المصري</t>
  </si>
  <si>
    <t>البنك الاهلى 29% شريحة ( أ ) 20000</t>
  </si>
  <si>
    <t>فوزي نعيم اسكندر تاوضروس</t>
  </si>
  <si>
    <t>تجارة بقالة</t>
  </si>
  <si>
    <t>منزل فوزي نعيم - بجوار مدرسه القصر الاعداديه - ش السوق - القصر - نجع حمادي - قنا</t>
  </si>
  <si>
    <t>منزل د/ بشاير بدروس - بجوار مخرطه شنوده بكير - ش السويقه - القصر - نجع حمادي - قنا</t>
  </si>
  <si>
    <t>البنك الاهلى30% شريحة ( ب ) 50000</t>
  </si>
  <si>
    <t>مادونا مرقس عدلي صهيون</t>
  </si>
  <si>
    <t>كوافير حريمي</t>
  </si>
  <si>
    <t>كوافير</t>
  </si>
  <si>
    <t>منزل رمضان حمدون علي - خلف شبكه الكهرباء - بجوار بقاله الشيخ جمال - السوق - نجع حمادي - قنا</t>
  </si>
  <si>
    <t>نوره ابوالقاسم محمدالصغير حسن</t>
  </si>
  <si>
    <t>منزل ابراهيم محمود - نجع ورور - بجوار المقابر - الهيشه - مركز نجع حمادي - قنا</t>
  </si>
  <si>
    <t>شيماء سيد ابوالمجد ابوالمجد</t>
  </si>
  <si>
    <t>منزل رشدي ابراهيم - بجوار صيدليه حنا القديمه - الكلح الغربي - نجع حمادي - قنا</t>
  </si>
  <si>
    <t>غاده السيد احمد عطيه</t>
  </si>
  <si>
    <t>حلواني وفطائر</t>
  </si>
  <si>
    <t>انتاج مواد غذائية</t>
  </si>
  <si>
    <t>حرفى وصناعى</t>
  </si>
  <si>
    <t>تمكين السيدات اجتماعياً واقتصادياً</t>
  </si>
  <si>
    <t>منزل مصطفي محمد - شارع الخلايفه - بجوار مدرسه الفصل الواحد - الهيشه - عزبه ادم - نجع حمادي - قنا</t>
  </si>
  <si>
    <t>الهيئة الاسبانية للترويج الاجتماعي</t>
  </si>
  <si>
    <t>تمكين السيدات اجتماعيا 20%</t>
  </si>
  <si>
    <t>روجينا لحظي داكر سوارس</t>
  </si>
  <si>
    <t>صناعة اكسسورات وخرز</t>
  </si>
  <si>
    <t>اعمال يدوية</t>
  </si>
  <si>
    <t>منزل يونان فيليب - ش الشيخ ابوعسران - القصر - مركز نجع حمادي - قنا</t>
  </si>
  <si>
    <t>نجاه محمود محمد الصادق</t>
  </si>
  <si>
    <t>منزل السيد احمد - شارع الخلايفه - بجوار الفصل الواحد - عزبه ادم - الهيشه - مركز نجع حمادي - قنا</t>
  </si>
  <si>
    <t>شراء بضاعة متنوعة</t>
  </si>
  <si>
    <t>شراء مواد خام</t>
  </si>
  <si>
    <t>شراء معدات</t>
  </si>
  <si>
    <t>شراء اعلاف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</si>
</sst>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000401]0"/>
  </numFmts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rightToLeft="1" tabSelected="1" topLeftCell="N1" workbookViewId="0">
      <selection activeCell="Q16" sqref="Q16:Q18"/>
    </sheetView>
  </sheetViews>
  <sheetFormatPr defaultRowHeight="14.4" x14ac:dyDescent="0.3"/>
  <cols>
    <col min="1" max="1" width="23.21875" bestFit="1" customWidth="1"/>
    <col min="2" max="2" width="8.33203125" bestFit="1" customWidth="1"/>
    <col min="3" max="3" width="15.109375" bestFit="1" customWidth="1"/>
    <col min="4" max="4" width="16.77734375" bestFit="1" customWidth="1"/>
    <col min="5" max="5" width="8.88671875" bestFit="1" customWidth="1"/>
    <col min="6" max="6" width="18.44140625" bestFit="1" customWidth="1"/>
    <col min="7" max="7" width="26.77734375" bestFit="1" customWidth="1"/>
    <col min="8" max="8" width="13.88671875" bestFit="1" customWidth="1"/>
    <col min="9" max="9" width="23.33203125" bestFit="1" customWidth="1"/>
    <col min="10" max="10" width="19.77734375" customWidth="1"/>
    <col min="11" max="11" width="13.77734375" customWidth="1"/>
    <col min="12" max="12" width="11" bestFit="1" customWidth="1"/>
    <col min="13" max="14" width="71.6640625" bestFit="1" customWidth="1"/>
    <col min="15" max="15" width="10.5546875" bestFit="1" customWidth="1"/>
    <col min="16" max="16" width="9.6640625" bestFit="1" customWidth="1"/>
    <col min="17" max="17" width="8.5546875" bestFit="1" customWidth="1"/>
    <col min="18" max="18" width="23" bestFit="1" customWidth="1"/>
    <col min="19" max="19" width="2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>
        <v>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s="3" customFormat="1" x14ac:dyDescent="0.3">
      <c r="A2" s="3" t="s">
        <v>70</v>
      </c>
      <c r="B2" s="3">
        <v>360</v>
      </c>
      <c r="C2" s="4">
        <v>27106102701857</v>
      </c>
      <c r="D2" s="3" t="s">
        <v>28</v>
      </c>
      <c r="E2" s="3" t="s">
        <v>29</v>
      </c>
      <c r="F2" s="3" t="s">
        <v>71</v>
      </c>
      <c r="G2" s="3" t="s">
        <v>37</v>
      </c>
      <c r="H2" s="3" t="s">
        <v>22</v>
      </c>
      <c r="I2" s="3" t="s">
        <v>65</v>
      </c>
      <c r="J2" s="3" t="s">
        <v>97</v>
      </c>
      <c r="K2" s="5" t="str">
        <f t="shared" ref="K2:K18" si="0">CONCATENATE($K$1,L2)</f>
        <v>01115605051</v>
      </c>
      <c r="L2" s="6">
        <v>1115605051</v>
      </c>
      <c r="M2" s="3" t="s">
        <v>72</v>
      </c>
      <c r="N2" s="3" t="s">
        <v>73</v>
      </c>
      <c r="O2" s="5">
        <v>45662</v>
      </c>
      <c r="P2" s="3">
        <v>18</v>
      </c>
      <c r="Q2" s="3">
        <v>49000</v>
      </c>
      <c r="R2" s="3" t="s">
        <v>68</v>
      </c>
      <c r="S2" s="3" t="s">
        <v>74</v>
      </c>
    </row>
    <row r="3" spans="1:19" s="3" customFormat="1" x14ac:dyDescent="0.3">
      <c r="A3" s="3" t="s">
        <v>61</v>
      </c>
      <c r="B3" s="3">
        <v>4816</v>
      </c>
      <c r="C3" s="4">
        <v>29901032702828</v>
      </c>
      <c r="D3" s="3" t="s">
        <v>44</v>
      </c>
      <c r="E3" s="3" t="s">
        <v>62</v>
      </c>
      <c r="F3" s="3" t="s">
        <v>63</v>
      </c>
      <c r="G3" s="3" t="s">
        <v>64</v>
      </c>
      <c r="H3" s="3" t="s">
        <v>22</v>
      </c>
      <c r="I3" s="3" t="s">
        <v>65</v>
      </c>
      <c r="J3" s="3" t="s">
        <v>97</v>
      </c>
      <c r="K3" s="5" t="str">
        <f t="shared" si="0"/>
        <v>01226656102</v>
      </c>
      <c r="L3" s="3">
        <v>1226656102</v>
      </c>
      <c r="M3" s="3" t="s">
        <v>66</v>
      </c>
      <c r="N3" s="3" t="s">
        <v>67</v>
      </c>
      <c r="O3" s="5">
        <v>45662</v>
      </c>
      <c r="P3" s="3">
        <v>18</v>
      </c>
      <c r="Q3" s="3">
        <v>20000</v>
      </c>
      <c r="R3" s="3" t="s">
        <v>68</v>
      </c>
      <c r="S3" s="3" t="s">
        <v>69</v>
      </c>
    </row>
    <row r="4" spans="1:19" s="3" customFormat="1" x14ac:dyDescent="0.3">
      <c r="A4" s="3" t="s">
        <v>75</v>
      </c>
      <c r="B4" s="3">
        <v>5460</v>
      </c>
      <c r="C4" s="4">
        <v>30205202703564</v>
      </c>
      <c r="D4" s="3" t="s">
        <v>18</v>
      </c>
      <c r="E4" s="3" t="s">
        <v>35</v>
      </c>
      <c r="F4" s="3" t="s">
        <v>76</v>
      </c>
      <c r="G4" s="3" t="s">
        <v>77</v>
      </c>
      <c r="H4" s="3" t="s">
        <v>48</v>
      </c>
      <c r="I4" s="3" t="s">
        <v>65</v>
      </c>
      <c r="J4" s="3" t="s">
        <v>99</v>
      </c>
      <c r="K4" s="5" t="str">
        <f t="shared" si="0"/>
        <v>01211397882</v>
      </c>
      <c r="L4" s="3">
        <v>1211397882</v>
      </c>
      <c r="M4" s="3" t="s">
        <v>78</v>
      </c>
      <c r="N4" s="3" t="s">
        <v>78</v>
      </c>
      <c r="O4" s="5">
        <v>45662</v>
      </c>
      <c r="P4" s="3">
        <v>18</v>
      </c>
      <c r="Q4" s="3">
        <v>34000</v>
      </c>
      <c r="R4" s="3" t="s">
        <v>68</v>
      </c>
      <c r="S4" s="3" t="s">
        <v>74</v>
      </c>
    </row>
    <row r="5" spans="1:19" s="3" customFormat="1" x14ac:dyDescent="0.3">
      <c r="A5" s="3" t="s">
        <v>79</v>
      </c>
      <c r="B5" s="3">
        <v>6279</v>
      </c>
      <c r="C5" s="4">
        <v>29905022705301</v>
      </c>
      <c r="D5" s="3" t="s">
        <v>40</v>
      </c>
      <c r="E5" s="3" t="s">
        <v>35</v>
      </c>
      <c r="F5" s="3" t="s">
        <v>30</v>
      </c>
      <c r="G5" s="3" t="s">
        <v>30</v>
      </c>
      <c r="H5" s="3" t="s">
        <v>31</v>
      </c>
      <c r="I5" s="3" t="s">
        <v>65</v>
      </c>
      <c r="J5" s="3" t="s">
        <v>100</v>
      </c>
      <c r="K5" s="5" t="str">
        <f t="shared" si="0"/>
        <v>01050959347</v>
      </c>
      <c r="L5" s="3">
        <v>1050959347</v>
      </c>
      <c r="M5" s="3" t="s">
        <v>80</v>
      </c>
      <c r="N5" s="3" t="s">
        <v>80</v>
      </c>
      <c r="O5" s="5">
        <v>45662</v>
      </c>
      <c r="P5" s="3">
        <v>18</v>
      </c>
      <c r="Q5" s="3">
        <v>34000</v>
      </c>
      <c r="R5" s="3" t="s">
        <v>68</v>
      </c>
      <c r="S5" s="3" t="s">
        <v>74</v>
      </c>
    </row>
    <row r="6" spans="1:19" s="3" customFormat="1" x14ac:dyDescent="0.3">
      <c r="A6" s="3" t="s">
        <v>81</v>
      </c>
      <c r="B6" s="3">
        <v>6283</v>
      </c>
      <c r="C6" s="4">
        <v>30005292700268</v>
      </c>
      <c r="D6" s="3" t="s">
        <v>18</v>
      </c>
      <c r="E6" s="3" t="s">
        <v>35</v>
      </c>
      <c r="F6" s="3" t="s">
        <v>53</v>
      </c>
      <c r="G6" s="3" t="s">
        <v>47</v>
      </c>
      <c r="H6" s="3" t="s">
        <v>48</v>
      </c>
      <c r="I6" s="3" t="s">
        <v>65</v>
      </c>
      <c r="J6" s="3" t="s">
        <v>98</v>
      </c>
      <c r="K6" s="5" t="str">
        <f t="shared" si="0"/>
        <v>01032676323</v>
      </c>
      <c r="L6" s="3">
        <v>1032676323</v>
      </c>
      <c r="M6" s="3" t="s">
        <v>82</v>
      </c>
      <c r="N6" s="3" t="s">
        <v>82</v>
      </c>
      <c r="O6" s="5">
        <v>45662</v>
      </c>
      <c r="P6" s="3">
        <v>18</v>
      </c>
      <c r="Q6" s="3">
        <v>34000</v>
      </c>
      <c r="R6" s="3" t="s">
        <v>68</v>
      </c>
      <c r="S6" s="3" t="s">
        <v>74</v>
      </c>
    </row>
    <row r="7" spans="1:19" s="3" customFormat="1" x14ac:dyDescent="0.3">
      <c r="A7" s="3" t="s">
        <v>17</v>
      </c>
      <c r="B7" s="3">
        <v>5157</v>
      </c>
      <c r="C7" s="4">
        <v>27212072700537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97</v>
      </c>
      <c r="K7" s="5" t="str">
        <f t="shared" si="0"/>
        <v>01027779820</v>
      </c>
      <c r="L7" s="3">
        <v>1027779820</v>
      </c>
      <c r="M7" s="3" t="s">
        <v>24</v>
      </c>
      <c r="N7" s="3" t="s">
        <v>24</v>
      </c>
      <c r="O7" s="5">
        <v>45662</v>
      </c>
      <c r="P7" s="3">
        <v>12</v>
      </c>
      <c r="Q7" s="3">
        <v>15000</v>
      </c>
      <c r="R7" s="3" t="s">
        <v>25</v>
      </c>
      <c r="S7" s="3" t="s">
        <v>26</v>
      </c>
    </row>
    <row r="8" spans="1:19" s="3" customFormat="1" x14ac:dyDescent="0.3">
      <c r="A8" s="3" t="s">
        <v>43</v>
      </c>
      <c r="B8" s="3">
        <v>5268</v>
      </c>
      <c r="C8" s="4">
        <v>29504152700919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3" t="s">
        <v>23</v>
      </c>
      <c r="J8" s="3" t="s">
        <v>99</v>
      </c>
      <c r="K8" s="5" t="str">
        <f t="shared" si="0"/>
        <v>01028757528</v>
      </c>
      <c r="L8" s="5">
        <v>1028757528</v>
      </c>
      <c r="M8" s="3" t="s">
        <v>49</v>
      </c>
      <c r="N8" s="3" t="s">
        <v>50</v>
      </c>
      <c r="O8" s="5">
        <v>45662</v>
      </c>
      <c r="P8" s="3">
        <v>18</v>
      </c>
      <c r="Q8" s="3">
        <v>34000</v>
      </c>
      <c r="R8" s="3" t="s">
        <v>25</v>
      </c>
      <c r="S8" s="3" t="s">
        <v>51</v>
      </c>
    </row>
    <row r="9" spans="1:19" s="3" customFormat="1" x14ac:dyDescent="0.3">
      <c r="A9" s="3" t="s">
        <v>52</v>
      </c>
      <c r="B9" s="3">
        <v>5269</v>
      </c>
      <c r="C9" s="4">
        <v>29805062700723</v>
      </c>
      <c r="D9" s="3" t="s">
        <v>44</v>
      </c>
      <c r="E9" s="3" t="s">
        <v>45</v>
      </c>
      <c r="F9" s="3" t="s">
        <v>53</v>
      </c>
      <c r="G9" s="3" t="s">
        <v>47</v>
      </c>
      <c r="H9" s="3" t="s">
        <v>48</v>
      </c>
      <c r="I9" s="3" t="s">
        <v>23</v>
      </c>
      <c r="J9" s="3" t="s">
        <v>99</v>
      </c>
      <c r="K9" s="5" t="str">
        <f t="shared" si="0"/>
        <v>01028757528</v>
      </c>
      <c r="L9" s="5">
        <v>1028757528</v>
      </c>
      <c r="M9" s="3" t="s">
        <v>54</v>
      </c>
      <c r="N9" s="3" t="s">
        <v>54</v>
      </c>
      <c r="O9" s="5">
        <v>45662</v>
      </c>
      <c r="P9" s="3">
        <v>18</v>
      </c>
      <c r="Q9" s="3">
        <v>34000</v>
      </c>
      <c r="R9" s="3" t="s">
        <v>25</v>
      </c>
      <c r="S9" s="3" t="s">
        <v>51</v>
      </c>
    </row>
    <row r="10" spans="1:19" s="3" customFormat="1" x14ac:dyDescent="0.3">
      <c r="A10" s="3" t="s">
        <v>55</v>
      </c>
      <c r="B10" s="3">
        <v>6276</v>
      </c>
      <c r="C10" s="4">
        <v>30111112701754</v>
      </c>
      <c r="D10" s="3" t="s">
        <v>18</v>
      </c>
      <c r="E10" s="3" t="s">
        <v>56</v>
      </c>
      <c r="F10" s="3" t="s">
        <v>30</v>
      </c>
      <c r="G10" s="3" t="s">
        <v>30</v>
      </c>
      <c r="H10" s="3" t="s">
        <v>31</v>
      </c>
      <c r="I10" s="3" t="s">
        <v>23</v>
      </c>
      <c r="J10" s="3" t="s">
        <v>100</v>
      </c>
      <c r="K10" s="5" t="str">
        <f t="shared" si="0"/>
        <v>01121575809</v>
      </c>
      <c r="L10" s="3">
        <v>1121575809</v>
      </c>
      <c r="M10" s="3" t="s">
        <v>57</v>
      </c>
      <c r="N10" s="3" t="s">
        <v>57</v>
      </c>
      <c r="O10" s="5">
        <v>45662</v>
      </c>
      <c r="P10" s="3">
        <v>18</v>
      </c>
      <c r="Q10" s="3">
        <v>25000</v>
      </c>
      <c r="R10" s="3" t="s">
        <v>25</v>
      </c>
      <c r="S10" s="3" t="s">
        <v>51</v>
      </c>
    </row>
    <row r="11" spans="1:19" s="3" customFormat="1" x14ac:dyDescent="0.3">
      <c r="A11" s="3" t="s">
        <v>58</v>
      </c>
      <c r="B11" s="3">
        <v>6277</v>
      </c>
      <c r="C11" s="4">
        <v>28506272702639</v>
      </c>
      <c r="D11" s="3" t="s">
        <v>18</v>
      </c>
      <c r="E11" s="3" t="s">
        <v>56</v>
      </c>
      <c r="F11" s="3" t="s">
        <v>30</v>
      </c>
      <c r="G11" s="3" t="s">
        <v>30</v>
      </c>
      <c r="H11" s="3" t="s">
        <v>31</v>
      </c>
      <c r="I11" s="3" t="s">
        <v>23</v>
      </c>
      <c r="J11" s="3" t="s">
        <v>100</v>
      </c>
      <c r="K11" s="5" t="str">
        <f t="shared" si="0"/>
        <v>01122710529</v>
      </c>
      <c r="L11" s="3">
        <v>1122710529</v>
      </c>
      <c r="M11" s="3" t="s">
        <v>57</v>
      </c>
      <c r="N11" s="3" t="s">
        <v>57</v>
      </c>
      <c r="O11" s="5">
        <v>45662</v>
      </c>
      <c r="P11" s="3">
        <v>18</v>
      </c>
      <c r="Q11" s="3">
        <v>25000</v>
      </c>
      <c r="R11" s="3" t="s">
        <v>25</v>
      </c>
      <c r="S11" s="3" t="s">
        <v>51</v>
      </c>
    </row>
    <row r="12" spans="1:19" s="3" customFormat="1" x14ac:dyDescent="0.3">
      <c r="A12" s="3" t="s">
        <v>59</v>
      </c>
      <c r="B12" s="3">
        <v>6278</v>
      </c>
      <c r="C12" s="4">
        <v>29906012706888</v>
      </c>
      <c r="D12" s="3" t="s">
        <v>44</v>
      </c>
      <c r="E12" s="3" t="s">
        <v>45</v>
      </c>
      <c r="F12" s="3" t="s">
        <v>53</v>
      </c>
      <c r="G12" s="3" t="s">
        <v>47</v>
      </c>
      <c r="H12" s="3" t="s">
        <v>48</v>
      </c>
      <c r="I12" s="3" t="s">
        <v>23</v>
      </c>
      <c r="J12" s="3" t="s">
        <v>99</v>
      </c>
      <c r="K12" s="5" t="str">
        <f t="shared" si="0"/>
        <v>01015596160</v>
      </c>
      <c r="L12" s="3">
        <v>1015596160</v>
      </c>
      <c r="M12" s="3" t="s">
        <v>60</v>
      </c>
      <c r="N12" s="3" t="s">
        <v>60</v>
      </c>
      <c r="O12" s="5">
        <v>45662</v>
      </c>
      <c r="P12" s="3">
        <v>18</v>
      </c>
      <c r="Q12" s="3">
        <v>34000</v>
      </c>
      <c r="R12" s="3" t="s">
        <v>25</v>
      </c>
      <c r="S12" s="3" t="s">
        <v>51</v>
      </c>
    </row>
    <row r="13" spans="1:19" s="3" customFormat="1" x14ac:dyDescent="0.3">
      <c r="A13" s="3" t="s">
        <v>27</v>
      </c>
      <c r="B13" s="3">
        <v>6281</v>
      </c>
      <c r="C13" s="4">
        <v>29901232705996</v>
      </c>
      <c r="D13" s="3" t="s">
        <v>28</v>
      </c>
      <c r="E13" s="3" t="s">
        <v>29</v>
      </c>
      <c r="F13" s="3" t="s">
        <v>30</v>
      </c>
      <c r="G13" s="3" t="s">
        <v>30</v>
      </c>
      <c r="H13" s="3" t="s">
        <v>31</v>
      </c>
      <c r="I13" s="3" t="s">
        <v>23</v>
      </c>
      <c r="J13" s="3" t="s">
        <v>100</v>
      </c>
      <c r="K13" s="5" t="str">
        <f t="shared" si="0"/>
        <v>01151702941</v>
      </c>
      <c r="L13" s="3">
        <v>1151702941</v>
      </c>
      <c r="M13" s="3" t="s">
        <v>32</v>
      </c>
      <c r="N13" s="3" t="s">
        <v>32</v>
      </c>
      <c r="O13" s="5">
        <v>45662</v>
      </c>
      <c r="P13" s="3">
        <v>18</v>
      </c>
      <c r="Q13" s="3">
        <v>15000</v>
      </c>
      <c r="R13" s="3" t="s">
        <v>25</v>
      </c>
      <c r="S13" s="3" t="s">
        <v>26</v>
      </c>
    </row>
    <row r="14" spans="1:19" s="3" customFormat="1" x14ac:dyDescent="0.3">
      <c r="A14" s="3" t="s">
        <v>33</v>
      </c>
      <c r="B14" s="3">
        <v>6282</v>
      </c>
      <c r="C14" s="4">
        <v>28211192700171</v>
      </c>
      <c r="D14" s="3" t="s">
        <v>34</v>
      </c>
      <c r="E14" s="3" t="s">
        <v>35</v>
      </c>
      <c r="F14" s="3" t="s">
        <v>36</v>
      </c>
      <c r="G14" s="3" t="s">
        <v>37</v>
      </c>
      <c r="H14" s="3" t="s">
        <v>22</v>
      </c>
      <c r="I14" s="3" t="s">
        <v>23</v>
      </c>
      <c r="J14" s="3" t="s">
        <v>97</v>
      </c>
      <c r="K14" s="5" t="str">
        <f t="shared" si="0"/>
        <v>01030018025</v>
      </c>
      <c r="L14" s="3">
        <v>1030018025</v>
      </c>
      <c r="M14" s="3" t="s">
        <v>38</v>
      </c>
      <c r="N14" s="3" t="s">
        <v>38</v>
      </c>
      <c r="O14" s="5">
        <v>45662</v>
      </c>
      <c r="P14" s="3">
        <v>18</v>
      </c>
      <c r="Q14" s="3">
        <v>10000</v>
      </c>
      <c r="R14" s="3" t="s">
        <v>25</v>
      </c>
      <c r="S14" s="3" t="s">
        <v>26</v>
      </c>
    </row>
    <row r="15" spans="1:19" s="3" customFormat="1" x14ac:dyDescent="0.3">
      <c r="A15" s="3" t="s">
        <v>39</v>
      </c>
      <c r="B15" s="3">
        <v>6284</v>
      </c>
      <c r="C15" s="4">
        <v>29603012707075</v>
      </c>
      <c r="D15" s="3" t="s">
        <v>40</v>
      </c>
      <c r="E15" s="3" t="s">
        <v>41</v>
      </c>
      <c r="F15" s="3" t="s">
        <v>30</v>
      </c>
      <c r="G15" s="3" t="s">
        <v>30</v>
      </c>
      <c r="H15" s="3" t="s">
        <v>31</v>
      </c>
      <c r="I15" s="3" t="s">
        <v>23</v>
      </c>
      <c r="J15" s="3" t="s">
        <v>100</v>
      </c>
      <c r="K15" s="5" t="str">
        <f t="shared" si="0"/>
        <v>01033070302</v>
      </c>
      <c r="L15" s="3">
        <v>1033070302</v>
      </c>
      <c r="M15" s="3" t="s">
        <v>42</v>
      </c>
      <c r="N15" s="3" t="s">
        <v>42</v>
      </c>
      <c r="O15" s="5">
        <v>45662</v>
      </c>
      <c r="P15" s="3">
        <v>12</v>
      </c>
      <c r="Q15" s="3">
        <v>10000</v>
      </c>
      <c r="R15" s="3" t="s">
        <v>25</v>
      </c>
      <c r="S15" s="3" t="s">
        <v>26</v>
      </c>
    </row>
    <row r="16" spans="1:19" x14ac:dyDescent="0.3">
      <c r="A16" t="s">
        <v>83</v>
      </c>
      <c r="B16">
        <v>5147</v>
      </c>
      <c r="C16" s="2">
        <v>29605132701189</v>
      </c>
      <c r="D16" t="s">
        <v>40</v>
      </c>
      <c r="E16" t="s">
        <v>35</v>
      </c>
      <c r="F16" t="s">
        <v>84</v>
      </c>
      <c r="G16" t="s">
        <v>85</v>
      </c>
      <c r="H16" t="s">
        <v>86</v>
      </c>
      <c r="I16" t="s">
        <v>87</v>
      </c>
      <c r="J16" t="s">
        <v>98</v>
      </c>
      <c r="K16" s="1" t="str">
        <f t="shared" si="0"/>
        <v>01142315616</v>
      </c>
      <c r="L16">
        <v>1142315616</v>
      </c>
      <c r="M16" t="s">
        <v>88</v>
      </c>
      <c r="N16" t="s">
        <v>88</v>
      </c>
      <c r="O16" s="1">
        <v>45662</v>
      </c>
      <c r="P16">
        <v>18</v>
      </c>
      <c r="Q16">
        <v>25000</v>
      </c>
      <c r="R16" t="s">
        <v>89</v>
      </c>
      <c r="S16" t="s">
        <v>90</v>
      </c>
    </row>
    <row r="17" spans="1:19" x14ac:dyDescent="0.3">
      <c r="A17" t="s">
        <v>91</v>
      </c>
      <c r="B17">
        <v>6234</v>
      </c>
      <c r="C17" s="2">
        <v>30111032700986</v>
      </c>
      <c r="D17" t="s">
        <v>28</v>
      </c>
      <c r="E17" t="s">
        <v>29</v>
      </c>
      <c r="F17" t="s">
        <v>92</v>
      </c>
      <c r="G17" t="s">
        <v>93</v>
      </c>
      <c r="H17" t="s">
        <v>86</v>
      </c>
      <c r="I17" t="s">
        <v>87</v>
      </c>
      <c r="J17" t="s">
        <v>97</v>
      </c>
      <c r="K17" s="1" t="str">
        <f t="shared" si="0"/>
        <v>01120294830</v>
      </c>
      <c r="L17">
        <v>1120294830</v>
      </c>
      <c r="M17" t="s">
        <v>94</v>
      </c>
      <c r="N17" t="s">
        <v>94</v>
      </c>
      <c r="O17" s="1">
        <v>45662</v>
      </c>
      <c r="P17">
        <v>18</v>
      </c>
      <c r="Q17">
        <v>25000</v>
      </c>
      <c r="R17" t="s">
        <v>89</v>
      </c>
      <c r="S17" t="s">
        <v>90</v>
      </c>
    </row>
    <row r="18" spans="1:19" x14ac:dyDescent="0.3">
      <c r="A18" t="s">
        <v>95</v>
      </c>
      <c r="B18">
        <v>6280</v>
      </c>
      <c r="C18" s="2">
        <v>27812132700644</v>
      </c>
      <c r="D18" t="s">
        <v>40</v>
      </c>
      <c r="E18" t="s">
        <v>35</v>
      </c>
      <c r="F18" t="s">
        <v>84</v>
      </c>
      <c r="G18" t="s">
        <v>85</v>
      </c>
      <c r="H18" t="s">
        <v>86</v>
      </c>
      <c r="I18" t="s">
        <v>87</v>
      </c>
      <c r="J18" t="s">
        <v>98</v>
      </c>
      <c r="K18" s="1" t="str">
        <f t="shared" si="0"/>
        <v>01023953401</v>
      </c>
      <c r="L18">
        <v>1023953401</v>
      </c>
      <c r="M18" t="s">
        <v>96</v>
      </c>
      <c r="N18" t="s">
        <v>96</v>
      </c>
      <c r="O18" s="1">
        <v>45662</v>
      </c>
      <c r="P18">
        <v>18</v>
      </c>
      <c r="Q18">
        <v>25000</v>
      </c>
      <c r="R18" t="s">
        <v>89</v>
      </c>
      <c r="S18" t="s">
        <v>90</v>
      </c>
    </row>
  </sheetData>
  <autoFilter ref="A1:S1">
    <sortState ref="A2:S18">
      <sortCondition ref="I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2025-01-05T13:04:47Z</dcterms:created>
  <dcterms:modified xsi:type="dcterms:W3CDTF">2025-01-08T10:38:23Z</dcterms:modified>
</cp:coreProperties>
</file>