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11\02 Com-Reports\"/>
    </mc:Choice>
  </mc:AlternateContent>
  <bookViews>
    <workbookView xWindow="120" yWindow="756" windowWidth="12120" windowHeight="8940" tabRatio="697" activeTab="1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<sst xmlns="http://schemas.openxmlformats.org/spreadsheetml/2006/main" count="419" uniqueCount="109">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</sst>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4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33" fillId="0" borderId="0" xfId="0" applyFont="1" applyAlignment="1">
      <alignment horizontal="right" vertical="center" readingOrder="2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8" fillId="0" borderId="19" xfId="0" applyFont="1" applyBorder="1" applyAlignment="1">
      <alignment horizontal="right"/>
    </xf>
    <xf numFmtId="0" fontId="28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font>
        <b val="0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/>
      <c r="B11" s="92" t="str">
        <f>IFERROR(VLOOKUP(A11,Table1[#All],2,0),"")</f>
        <v/>
      </c>
      <c r="C11" s="92"/>
      <c r="D11" s="92"/>
      <c r="E11" s="93"/>
      <c r="F11" s="147" t="str">
        <f>IFERROR(VLOOKUP(A11,Table1[#All],3,0),"")</f>
        <v/>
      </c>
      <c r="G11" s="147"/>
      <c r="H11" s="147"/>
      <c r="I11" s="147"/>
      <c r="J11" s="147"/>
      <c r="K11" s="94" t="s">
        <v>32</v>
      </c>
      <c r="L11" s="95"/>
    </row>
    <row r="12" spans="1:12" s="91" customFormat="1" ht="28.2" customHeight="1" x14ac:dyDescent="0.4">
      <c r="A12" s="68"/>
      <c r="B12" s="92" t="str">
        <f>IFERROR(VLOOKUP(A12,Table1[#All],2,0),"")</f>
        <v/>
      </c>
      <c r="C12" s="92"/>
      <c r="D12" s="92"/>
      <c r="E12" s="93"/>
      <c r="F12" s="147" t="str">
        <f>IFERROR(VLOOKUP(A12,Table1[#All],3,0),"")</f>
        <v/>
      </c>
      <c r="G12" s="147"/>
      <c r="H12" s="147"/>
      <c r="I12" s="147"/>
      <c r="J12" s="147"/>
      <c r="K12" s="94" t="s">
        <v>32</v>
      </c>
      <c r="L12" s="95"/>
    </row>
    <row r="13" spans="1:12" s="91" customFormat="1" ht="28.2" customHeight="1" x14ac:dyDescent="0.4">
      <c r="A13" s="68"/>
      <c r="B13" s="92" t="str">
        <f>IFERROR(VLOOKUP(A13,Table1[#All],2,0),"")</f>
        <v/>
      </c>
      <c r="C13" s="92"/>
      <c r="D13" s="92"/>
      <c r="E13" s="93"/>
      <c r="F13" s="147" t="str">
        <f>IFERROR(VLOOKUP(A13,Table1[#All],3,0),"")</f>
        <v/>
      </c>
      <c r="G13" s="147"/>
      <c r="H13" s="147"/>
      <c r="I13" s="147"/>
      <c r="J13" s="147"/>
      <c r="K13" s="94" t="s">
        <v>32</v>
      </c>
      <c r="L13" s="95"/>
    </row>
    <row r="14" spans="1:12" s="91" customFormat="1" ht="28.2" customHeight="1" x14ac:dyDescent="0.4">
      <c r="A14" s="68"/>
      <c r="B14" s="92" t="str">
        <f>IFERROR(VLOOKUP(A14,Table1[#All],2,0),"")</f>
        <v/>
      </c>
      <c r="C14" s="92"/>
      <c r="D14" s="92"/>
      <c r="E14" s="93"/>
      <c r="F14" s="147" t="str">
        <f>IFERROR(VLOOKUP(A14,Table1[#All],3,0),"")</f>
        <v/>
      </c>
      <c r="G14" s="147"/>
      <c r="H14" s="147"/>
      <c r="I14" s="147"/>
      <c r="J14" s="147"/>
      <c r="K14" s="94" t="s">
        <v>32</v>
      </c>
      <c r="L14" s="95"/>
    </row>
    <row r="15" spans="1:12" s="91" customFormat="1" ht="28.2" customHeight="1" x14ac:dyDescent="0.4">
      <c r="A15" s="68"/>
      <c r="B15" s="92" t="str">
        <f>IFERROR(VLOOKUP(A15,Table1[#All],2,0),"")</f>
        <v/>
      </c>
      <c r="C15" s="92"/>
      <c r="D15" s="92"/>
      <c r="E15" s="93"/>
      <c r="F15" s="147" t="str">
        <f>IFERROR(VLOOKUP(A15,Table1[#All],3,0),"")</f>
        <v/>
      </c>
      <c r="G15" s="147"/>
      <c r="H15" s="147"/>
      <c r="I15" s="147"/>
      <c r="J15" s="147"/>
      <c r="K15" s="94" t="s">
        <v>32</v>
      </c>
      <c r="L15" s="95"/>
    </row>
    <row r="16" spans="1:12" s="91" customFormat="1" ht="28.2" customHeight="1" x14ac:dyDescent="0.4">
      <c r="A16" s="68"/>
      <c r="B16" s="92" t="str">
        <f>IFERROR(VLOOKUP(A16,Table1[#All],2,0),"")</f>
        <v/>
      </c>
      <c r="C16" s="92"/>
      <c r="D16" s="92"/>
      <c r="E16" s="93"/>
      <c r="F16" s="147" t="str">
        <f>IFERROR(VLOOKUP(A16,Table1[#All],3,0),"")</f>
        <v/>
      </c>
      <c r="G16" s="147"/>
      <c r="H16" s="147"/>
      <c r="I16" s="147"/>
      <c r="J16" s="147"/>
      <c r="K16" s="94" t="s">
        <v>32</v>
      </c>
      <c r="L16" s="95"/>
    </row>
    <row r="17" spans="1:13" s="91" customFormat="1" ht="28.2" customHeight="1" x14ac:dyDescent="0.4">
      <c r="A17" s="68"/>
      <c r="B17" s="92" t="str">
        <f>IFERROR(VLOOKUP(A17,Table1[#All],2,0),"")</f>
        <v/>
      </c>
      <c r="C17" s="92"/>
      <c r="D17" s="92"/>
      <c r="E17" s="93"/>
      <c r="F17" s="147" t="str">
        <f>IFERROR(VLOOKUP(A17,Table1[#All],3,0),"")</f>
        <v/>
      </c>
      <c r="G17" s="147"/>
      <c r="H17" s="147"/>
      <c r="I17" s="147"/>
      <c r="J17" s="147"/>
      <c r="K17" s="94" t="s">
        <v>32</v>
      </c>
      <c r="L17" s="95"/>
    </row>
    <row r="18" spans="1:13" s="91" customFormat="1" ht="28.2" customHeight="1" x14ac:dyDescent="0.4">
      <c r="A18" s="68"/>
      <c r="B18" s="92" t="str">
        <f>IFERROR(VLOOKUP(A18,Table1[#All],2,0),"")</f>
        <v/>
      </c>
      <c r="C18" s="92"/>
      <c r="D18" s="92"/>
      <c r="E18" s="93"/>
      <c r="F18" s="147" t="str">
        <f>IFERROR(VLOOKUP(A18,Table1[#All],3,0),"")</f>
        <v/>
      </c>
      <c r="G18" s="147"/>
      <c r="H18" s="147"/>
      <c r="I18" s="147"/>
      <c r="J18" s="147"/>
      <c r="K18" s="94" t="s">
        <v>32</v>
      </c>
      <c r="L18" s="95"/>
    </row>
    <row r="19" spans="1:13" s="91" customFormat="1" ht="28.2" customHeight="1" x14ac:dyDescent="0.4">
      <c r="A19" s="68"/>
      <c r="B19" s="92" t="str">
        <f>IFERROR(VLOOKUP(A19,Table1[#All],2,0),"")</f>
        <v/>
      </c>
      <c r="C19" s="92"/>
      <c r="D19" s="92"/>
      <c r="E19" s="93"/>
      <c r="F19" s="147" t="str">
        <f>IFERROR(VLOOKUP(A19,Table1[#All],3,0),"")</f>
        <v/>
      </c>
      <c r="G19" s="147"/>
      <c r="H19" s="147"/>
      <c r="I19" s="147"/>
      <c r="J19" s="147"/>
      <c r="K19" s="94" t="s">
        <v>32</v>
      </c>
      <c r="L19" s="95"/>
    </row>
    <row r="20" spans="1:13" ht="28.2" customHeight="1" x14ac:dyDescent="0.4">
      <c r="A20" s="69"/>
      <c r="B20" s="92" t="str">
        <f>IFERROR(VLOOKUP(A20,Table1[#All],2,0),"")</f>
        <v/>
      </c>
      <c r="C20" s="84"/>
      <c r="D20" s="84"/>
      <c r="E20" s="84"/>
      <c r="F20" s="147" t="str">
        <f>IFERROR(VLOOKUP(A20,Table1[#All],3,0),"")</f>
        <v/>
      </c>
      <c r="G20" s="147"/>
      <c r="H20" s="147"/>
      <c r="I20" s="147"/>
      <c r="J20" s="147"/>
      <c r="K20" s="94" t="s">
        <v>32</v>
      </c>
      <c r="L20" s="97"/>
    </row>
    <row r="21" spans="1:13" ht="24" customHeight="1" x14ac:dyDescent="0.4">
      <c r="A21" s="83"/>
      <c r="B21" s="98" t="s">
        <v>46</v>
      </c>
      <c r="C21" s="98"/>
      <c r="D21" s="98"/>
      <c r="E21" s="98"/>
      <c r="F21" s="98"/>
      <c r="G21" s="98"/>
      <c r="H21" s="98"/>
      <c r="I21" s="98" t="s">
        <v>47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70</v>
      </c>
      <c r="C22" s="98"/>
      <c r="D22" s="98"/>
      <c r="E22" s="98"/>
      <c r="F22" s="70"/>
      <c r="G22" s="102" t="s">
        <v>2</v>
      </c>
      <c r="H22" s="103"/>
      <c r="I22" s="71"/>
      <c r="J22" s="148" t="str">
        <f>NoToTxt(I22,"جنيها","قرش")&amp;" لاغير"</f>
        <v>صفر لاغير</v>
      </c>
      <c r="K22" s="148"/>
      <c r="L22" s="149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43" t="s">
        <v>6</v>
      </c>
      <c r="E25" s="143"/>
      <c r="F25" s="143"/>
      <c r="G25" s="143"/>
      <c r="H25" s="143"/>
      <c r="I25" s="143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44" t="s">
        <v>51</v>
      </c>
      <c r="E26" s="144"/>
      <c r="F26" s="144"/>
      <c r="G26" s="144"/>
      <c r="H26" s="144"/>
      <c r="I26" s="144"/>
      <c r="J26" s="74"/>
      <c r="K26" s="76"/>
      <c r="L26" s="100"/>
      <c r="M26" s="101"/>
    </row>
    <row r="27" spans="1:13" ht="28.95" customHeight="1" x14ac:dyDescent="0.4">
      <c r="A27" s="83"/>
      <c r="B27" s="104"/>
      <c r="C27" s="109">
        <v>2</v>
      </c>
      <c r="D27" s="144" t="s">
        <v>52</v>
      </c>
      <c r="E27" s="144"/>
      <c r="F27" s="144"/>
      <c r="G27" s="144"/>
      <c r="H27" s="144"/>
      <c r="I27" s="144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5"/>
      <c r="E28" s="146"/>
      <c r="F28" s="146"/>
      <c r="G28" s="146"/>
      <c r="H28" s="146"/>
      <c r="I28" s="146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5"/>
      <c r="E29" s="146"/>
      <c r="F29" s="146"/>
      <c r="G29" s="146"/>
      <c r="H29" s="146"/>
      <c r="I29" s="146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51" t="s">
        <v>9</v>
      </c>
      <c r="D30" s="152"/>
      <c r="E30" s="152"/>
      <c r="F30" s="152"/>
      <c r="G30" s="152"/>
      <c r="H30" s="152"/>
      <c r="I30" s="152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50" t="s">
        <v>17</v>
      </c>
      <c r="E33" s="150"/>
      <c r="F33" s="150"/>
      <c r="G33" s="150"/>
      <c r="H33" s="150"/>
      <c r="I33" s="150"/>
      <c r="J33" s="150"/>
      <c r="K33" s="76"/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50" t="s">
        <v>19</v>
      </c>
      <c r="E35" s="150"/>
      <c r="F35" s="150"/>
      <c r="G35" s="153"/>
      <c r="H35" s="150"/>
      <c r="I35" s="150"/>
      <c r="J35" s="150"/>
      <c r="K35" s="76"/>
      <c r="L35" s="100"/>
      <c r="M35" s="101"/>
    </row>
    <row r="36" spans="1:13" ht="30.75" customHeight="1" x14ac:dyDescent="0.4">
      <c r="A36" s="83"/>
      <c r="B36" s="104"/>
      <c r="C36" s="114">
        <v>4</v>
      </c>
      <c r="D36" s="154" t="s">
        <v>48</v>
      </c>
      <c r="E36" s="155"/>
      <c r="F36" s="155"/>
      <c r="G36" s="155"/>
      <c r="H36" s="155"/>
      <c r="I36" s="155"/>
      <c r="J36" s="156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50" t="s">
        <v>11</v>
      </c>
      <c r="E37" s="150"/>
      <c r="F37" s="150"/>
      <c r="G37" s="150"/>
      <c r="H37" s="150"/>
      <c r="I37" s="150"/>
      <c r="J37" s="150"/>
      <c r="K37" s="76"/>
      <c r="L37" s="100"/>
      <c r="M37" s="101"/>
    </row>
    <row r="38" spans="1:13" ht="30" customHeight="1" x14ac:dyDescent="0.4">
      <c r="A38" s="83"/>
      <c r="B38" s="104"/>
      <c r="C38" s="114">
        <v>6</v>
      </c>
      <c r="D38" s="154" t="s">
        <v>49</v>
      </c>
      <c r="E38" s="155"/>
      <c r="F38" s="155"/>
      <c r="G38" s="155"/>
      <c r="H38" s="155"/>
      <c r="I38" s="155"/>
      <c r="J38" s="156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54" t="s">
        <v>21</v>
      </c>
      <c r="E39" s="155"/>
      <c r="F39" s="155"/>
      <c r="G39" s="155"/>
      <c r="H39" s="155"/>
      <c r="I39" s="155"/>
      <c r="J39" s="156"/>
      <c r="K39" s="78"/>
      <c r="L39" s="100"/>
      <c r="M39" s="101"/>
    </row>
    <row r="40" spans="1:13" ht="30.75" customHeight="1" thickBot="1" x14ac:dyDescent="0.45">
      <c r="A40" s="83"/>
      <c r="B40" s="104"/>
      <c r="C40" s="151" t="s">
        <v>12</v>
      </c>
      <c r="D40" s="152"/>
      <c r="E40" s="152"/>
      <c r="F40" s="152"/>
      <c r="G40" s="152"/>
      <c r="H40" s="152"/>
      <c r="I40" s="152"/>
      <c r="J40" s="152"/>
      <c r="K40" s="115">
        <f>SUM(K33:K38)-K39</f>
        <v>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57" t="s">
        <v>30</v>
      </c>
      <c r="D42" s="157"/>
      <c r="E42" s="157"/>
      <c r="F42" s="157"/>
      <c r="G42" s="157"/>
      <c r="H42" s="157"/>
      <c r="I42" s="157"/>
      <c r="J42" s="157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83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77</v>
      </c>
      <c r="C54" s="124"/>
      <c r="D54" s="124"/>
      <c r="E54" s="98"/>
      <c r="F54" s="98" t="s">
        <v>79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58" t="s">
        <v>15</v>
      </c>
      <c r="C58" s="158"/>
      <c r="D58" s="98"/>
      <c r="E58" s="98"/>
      <c r="F58" s="98"/>
      <c r="G58" s="158" t="s">
        <v>16</v>
      </c>
      <c r="H58" s="158"/>
      <c r="I58" s="158"/>
      <c r="J58" s="158"/>
      <c r="K58" s="158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 xml:space="preserve">الاستاذ </v>
      </c>
      <c r="C59" s="98"/>
      <c r="D59" s="98"/>
      <c r="E59" s="98"/>
      <c r="F59" s="98"/>
      <c r="G59" s="139" t="s">
        <v>29</v>
      </c>
      <c r="H59" s="140"/>
      <c r="I59" s="140"/>
      <c r="J59" s="140"/>
      <c r="K59" s="140"/>
      <c r="L59" s="85"/>
    </row>
    <row r="60" spans="1:12" ht="28.95" customHeight="1" x14ac:dyDescent="0.4">
      <c r="A60" s="132">
        <v>2</v>
      </c>
      <c r="B60" s="98" t="str">
        <f t="shared" si="0"/>
        <v xml:space="preserve">الاستاذ </v>
      </c>
      <c r="C60" s="98"/>
      <c r="D60" s="98"/>
      <c r="E60" s="98"/>
      <c r="F60" s="98"/>
      <c r="G60" s="139" t="s">
        <v>29</v>
      </c>
      <c r="H60" s="140"/>
      <c r="I60" s="140"/>
      <c r="J60" s="140"/>
      <c r="K60" s="140"/>
      <c r="L60" s="85"/>
    </row>
    <row r="61" spans="1:12" ht="28.95" customHeight="1" x14ac:dyDescent="0.4">
      <c r="A61" s="132">
        <v>3</v>
      </c>
      <c r="B61" s="98" t="str">
        <f t="shared" si="0"/>
        <v xml:space="preserve">الاستاذ </v>
      </c>
      <c r="C61" s="98"/>
      <c r="D61" s="98"/>
      <c r="E61" s="98"/>
      <c r="F61" s="98"/>
      <c r="G61" s="139" t="s">
        <v>29</v>
      </c>
      <c r="H61" s="140"/>
      <c r="I61" s="140"/>
      <c r="J61" s="140"/>
      <c r="K61" s="140"/>
      <c r="L61" s="85"/>
    </row>
    <row r="62" spans="1:12" ht="28.95" customHeight="1" x14ac:dyDescent="0.4">
      <c r="A62" s="132">
        <v>4</v>
      </c>
      <c r="B62" s="98" t="str">
        <f t="shared" si="0"/>
        <v xml:space="preserve">الاستاذ </v>
      </c>
      <c r="C62" s="98"/>
      <c r="D62" s="98"/>
      <c r="E62" s="98"/>
      <c r="F62" s="98"/>
      <c r="G62" s="139" t="s">
        <v>29</v>
      </c>
      <c r="H62" s="140"/>
      <c r="I62" s="140"/>
      <c r="J62" s="140"/>
      <c r="K62" s="140"/>
      <c r="L62" s="85"/>
    </row>
    <row r="63" spans="1:12" ht="28.95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39" t="s">
        <v>29</v>
      </c>
      <c r="H63" s="140"/>
      <c r="I63" s="140"/>
      <c r="J63" s="140"/>
      <c r="K63" s="140"/>
      <c r="L63" s="85"/>
    </row>
    <row r="64" spans="1:12" ht="28.95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39" t="s">
        <v>29</v>
      </c>
      <c r="H64" s="140"/>
      <c r="I64" s="140"/>
      <c r="J64" s="140"/>
      <c r="K64" s="140"/>
      <c r="L64" s="85"/>
    </row>
    <row r="65" spans="1:12" ht="28.95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39" t="s">
        <v>29</v>
      </c>
      <c r="H65" s="140"/>
      <c r="I65" s="140"/>
      <c r="J65" s="140"/>
      <c r="K65" s="140"/>
      <c r="L65" s="85"/>
    </row>
    <row r="66" spans="1:12" ht="28.95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39" t="s">
        <v>29</v>
      </c>
      <c r="H66" s="140"/>
      <c r="I66" s="140"/>
      <c r="J66" s="140"/>
      <c r="K66" s="140"/>
      <c r="L66" s="85"/>
    </row>
    <row r="67" spans="1:12" ht="28.95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39" t="s">
        <v>29</v>
      </c>
      <c r="H67" s="140"/>
      <c r="I67" s="140"/>
      <c r="J67" s="140"/>
      <c r="K67" s="140"/>
      <c r="L67" s="85"/>
    </row>
    <row r="68" spans="1:12" ht="28.95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39" t="s">
        <v>29</v>
      </c>
      <c r="H68" s="140"/>
      <c r="I68" s="140"/>
      <c r="J68" s="140"/>
      <c r="K68" s="140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57" t="s">
        <v>30</v>
      </c>
      <c r="D70" s="157"/>
      <c r="E70" s="157"/>
      <c r="F70" s="157"/>
      <c r="G70" s="157"/>
      <c r="H70" s="157"/>
      <c r="I70" s="157"/>
      <c r="J70" s="157"/>
      <c r="K70" s="120"/>
      <c r="L70" s="128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tabSelected="1" view="pageBreakPreview" zoomScale="90" zoomScaleNormal="100" zoomScaleSheetLayoutView="90" workbookViewId="0">
      <selection activeCell="E70" sqref="E7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45699</v>
      </c>
      <c r="D10" s="44" t="s">
        <v>1</v>
      </c>
      <c r="E10" s="67">
        <v>45699</v>
      </c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9" t="str">
        <f t="shared" ref="F11:F12" si="0">IFERROR(VLOOKUP(A11,الاعضاء,3,0),"")</f>
        <v>مدير التمويل متناهى الصغر بمحافظة قنا</v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8">
        <v>10</v>
      </c>
      <c r="B12" s="6" t="str">
        <f>IFERROR(VLOOKUP(A12,Table1[#All],2,0),"")</f>
        <v>يوسف قاعود منصور</v>
      </c>
      <c r="C12" s="6"/>
      <c r="D12" s="6"/>
      <c r="E12" s="7"/>
      <c r="F12" s="159" t="str">
        <f t="shared" si="0"/>
        <v>مدير فرع التمويل متناهى الصغر بابوتشت</v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8">
        <v>9</v>
      </c>
      <c r="B13" s="6" t="str">
        <f>IFERROR(VLOOKUP(A13,Table1[#All],2,0),"")</f>
        <v>وائل مترى ناشد</v>
      </c>
      <c r="C13" s="6"/>
      <c r="D13" s="6"/>
      <c r="E13" s="7"/>
      <c r="F13" s="159" t="str">
        <f t="shared" ref="F13:F20" si="1">IFERROR(VLOOKUP(A13,الاعضاء,3,0),"")</f>
        <v>مدير مكتب التمويل متناهى الصغر بفرشوط</v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8">
        <v>15</v>
      </c>
      <c r="B14" s="6" t="str">
        <f>IFERROR(VLOOKUP(A14,Table1[#All],2,0),"")</f>
        <v>عادل اديب ناشد</v>
      </c>
      <c r="C14" s="6"/>
      <c r="D14" s="6"/>
      <c r="E14" s="7"/>
      <c r="F14" s="159" t="str">
        <f t="shared" si="1"/>
        <v>مشرف حسابات برامج التمويل متناهى الصغر</v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hidden="1" customHeight="1" x14ac:dyDescent="0.4">
      <c r="A15" s="68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hidden="1" customHeight="1" x14ac:dyDescent="0.4">
      <c r="A16" s="68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hidden="1" customHeight="1" x14ac:dyDescent="0.4">
      <c r="A17" s="68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hidden="1" customHeight="1" x14ac:dyDescent="0.4">
      <c r="A18" s="68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hidden="1" customHeight="1" x14ac:dyDescent="0.4">
      <c r="A19" s="68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hidden="1" customHeight="1" x14ac:dyDescent="0.4">
      <c r="A20" s="68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>
        <v>9</v>
      </c>
      <c r="G22" s="63" t="s">
        <v>2</v>
      </c>
      <c r="H22" s="62"/>
      <c r="I22" s="71">
        <v>295000</v>
      </c>
      <c r="J22" s="180" t="str">
        <f>NoToTxt(I22,"جنيها","قرش")&amp;" لاغير"</f>
        <v>فقط مائتان وخمسة وتسعون ألف جنيها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89</v>
      </c>
      <c r="E26" s="164"/>
      <c r="F26" s="164"/>
      <c r="G26" s="164"/>
      <c r="H26" s="164"/>
      <c r="I26" s="164"/>
      <c r="J26" s="74">
        <v>1</v>
      </c>
      <c r="K26" s="76">
        <v>12000</v>
      </c>
      <c r="L26" s="16"/>
      <c r="M26" s="2"/>
    </row>
    <row r="27" spans="1:13" ht="28.95" customHeight="1" x14ac:dyDescent="0.4">
      <c r="A27" s="12"/>
      <c r="B27" s="8"/>
      <c r="C27" s="26">
        <v>1</v>
      </c>
      <c r="D27" s="164" t="s">
        <v>90</v>
      </c>
      <c r="E27" s="164"/>
      <c r="F27" s="164"/>
      <c r="G27" s="164"/>
      <c r="H27" s="164"/>
      <c r="I27" s="164"/>
      <c r="J27" s="74">
        <v>8</v>
      </c>
      <c r="K27" s="76">
        <v>283000</v>
      </c>
      <c r="L27" s="16"/>
      <c r="M27" s="2"/>
    </row>
    <row r="28" spans="1:13" ht="28.95" customHeight="1" x14ac:dyDescent="0.4">
      <c r="A28" s="12"/>
      <c r="B28" s="8"/>
      <c r="C28" s="26">
        <v>1</v>
      </c>
      <c r="D28" s="172" t="s">
        <v>100</v>
      </c>
      <c r="E28" s="173"/>
      <c r="F28" s="173"/>
      <c r="G28" s="173"/>
      <c r="H28" s="173"/>
      <c r="I28" s="174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4">
        <f>J26+J27+J28</f>
        <v>9</v>
      </c>
      <c r="K31" s="76">
        <f>K26+K27+K28</f>
        <v>295000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93" t="s">
        <v>19</v>
      </c>
      <c r="E36" s="193"/>
      <c r="F36" s="193"/>
      <c r="G36" s="194"/>
      <c r="H36" s="193"/>
      <c r="I36" s="193"/>
      <c r="J36" s="193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7">
        <v>295000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295000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>الاستاذ سامح بلامون عبدالسيد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4"/>
        <v>الاستاذ يوسف قاعود منصور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4"/>
        <v>الاستاذ وائل مترى ناشد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4"/>
        <v>الاستاذ عادل اديب ناشد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hidden="1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hidden="1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hidden="1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hidden="1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hidden="1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hidden="1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0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4" t="s">
        <v>85</v>
      </c>
      <c r="E26" s="164"/>
      <c r="F26" s="164"/>
      <c r="G26" s="164"/>
      <c r="H26" s="164"/>
      <c r="I26" s="164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4" t="s">
        <v>86</v>
      </c>
      <c r="E27" s="164"/>
      <c r="F27" s="164"/>
      <c r="G27" s="164"/>
      <c r="H27" s="164"/>
      <c r="I27" s="164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2" t="s">
        <v>87</v>
      </c>
      <c r="E28" s="183"/>
      <c r="F28" s="183"/>
      <c r="G28" s="183"/>
      <c r="H28" s="183"/>
      <c r="I28" s="184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88</v>
      </c>
      <c r="E29" s="178"/>
      <c r="F29" s="178"/>
      <c r="G29" s="178"/>
      <c r="H29" s="178"/>
      <c r="I29" s="178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84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2" t="s">
        <v>82</v>
      </c>
      <c r="G21" s="192"/>
      <c r="H21" s="192"/>
      <c r="I21" s="192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106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4" t="s">
        <v>74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75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76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98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2" t="s">
        <v>92</v>
      </c>
      <c r="G21" s="192"/>
      <c r="H21" s="192"/>
      <c r="I21" s="192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93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76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98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59" t="str">
        <f t="shared" ref="F11:F20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59" t="str">
        <f t="shared" si="0"/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59" t="str">
        <f t="shared" si="0"/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6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96</v>
      </c>
      <c r="E26" s="164"/>
      <c r="F26" s="164"/>
      <c r="G26" s="164"/>
      <c r="H26" s="164"/>
      <c r="I26" s="164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4" t="s">
        <v>97</v>
      </c>
      <c r="E27" s="164"/>
      <c r="F27" s="164"/>
      <c r="G27" s="164"/>
      <c r="H27" s="164"/>
      <c r="I27" s="164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2" t="s">
        <v>99</v>
      </c>
      <c r="E28" s="173"/>
      <c r="F28" s="173"/>
      <c r="G28" s="173"/>
      <c r="H28" s="173"/>
      <c r="I28" s="174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workbookViewId="0">
      <selection activeCell="C22" sqref="C22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138" t="s">
        <v>61</v>
      </c>
      <c r="D9" s="52" t="s">
        <v>80</v>
      </c>
    </row>
    <row r="10" spans="2:4" x14ac:dyDescent="0.25">
      <c r="B10" s="51">
        <v>8</v>
      </c>
      <c r="C10" s="138" t="s">
        <v>54</v>
      </c>
      <c r="D10" s="58" t="s">
        <v>66</v>
      </c>
    </row>
    <row r="11" spans="2:4" x14ac:dyDescent="0.25">
      <c r="B11" s="51">
        <v>9</v>
      </c>
      <c r="C11" s="138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138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ht="13.8" x14ac:dyDescent="0.25">
      <c r="B22" s="51">
        <v>20</v>
      </c>
      <c r="C22" s="61" t="s">
        <v>107</v>
      </c>
      <c r="D22" s="52" t="s">
        <v>108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2025-02-11T11:55:56Z</cp:lastPrinted>
  <dcterms:created xsi:type="dcterms:W3CDTF">1996-10-14T23:33:28Z</dcterms:created>
  <dcterms:modified xsi:type="dcterms:W3CDTF">2025-02-11T11:56:03Z</dcterms:modified>
</cp:coreProperties>
</file>