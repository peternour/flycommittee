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2-11\06 Helping-Files\"/>
    </mc:Choice>
  </mc:AlternateContent>
  <bookViews>
    <workbookView xWindow="3120" yWindow="3120" windowWidth="16200" windowHeight="9360"/>
  </bookViews>
  <sheets>
    <sheet name="Sheet1" sheetId="1" r:id="rId1"/>
  </sheets>
  <definedNames>
    <definedName name="_xlnm._FilterDatabase" localSheetId="0" hidden="1">Sheet1!$A$1:$S$36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1" l="1"/>
  <c r="J30" i="1"/>
  <c r="J31" i="1"/>
  <c r="J32" i="1"/>
  <c r="J33" i="1"/>
  <c r="J34" i="1"/>
  <c r="J35" i="1"/>
  <c r="J36" i="1"/>
  <c r="J28" i="1"/>
</calcChain>
</file>

<file path=xl/sharedStrings.xml><?xml version="1.0" encoding="utf-8"?>
<sst xmlns="http://schemas.openxmlformats.org/spreadsheetml/2006/main" count="403" uniqueCount="146">
  <si>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</si>
  <si>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</si>
  <si>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</si>
  <si>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</si>
  <si>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</si>
  <si>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</si>
  <si>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</si>
  <si>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</si>
  <si>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</si>
  <si>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</si>
  <si>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</si>
  <si>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</si>
  <si>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</si>
  <si>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</si>
  <si>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</si>
  <si>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مسلسل القرض</t>
  </si>
  <si>
    <t>مصدر التمويل</t>
  </si>
  <si>
    <t>نظام القرض</t>
  </si>
  <si>
    <t>صبري محمد عوض حسين</t>
  </si>
  <si>
    <t>ابانوب عاطف سعدى</t>
  </si>
  <si>
    <t>القمانة</t>
  </si>
  <si>
    <t>تربية و تسمين ماشية</t>
  </si>
  <si>
    <t>انتاج حيوانى و زراعي</t>
  </si>
  <si>
    <t>ايدي في ايدك</t>
  </si>
  <si>
    <t>منزل صبري محمد - بجوار جامع الشاذلي - عزبه حماد - القمانه - نجع حمادي- قنا</t>
  </si>
  <si>
    <t>جمعية الصعيد للتربية و التنمية</t>
  </si>
  <si>
    <t>ايدي فى ايدك 29% شريحة ( أ ) 20000</t>
  </si>
  <si>
    <t>رغده مرعي يمني محمد</t>
  </si>
  <si>
    <t>نجع عمران</t>
  </si>
  <si>
    <t>منزل مرعي يمني - بجوار جامع اسماعيل - نجع عمران - ابوعموري - نجع حمادي - قنا</t>
  </si>
  <si>
    <t>باتعه عبدالحي عبدالعاطي محمد</t>
  </si>
  <si>
    <t>ترزى حريمي</t>
  </si>
  <si>
    <t>اعمال التفصيل</t>
  </si>
  <si>
    <t>خدمى</t>
  </si>
  <si>
    <t>منزل محمد حمدان حمدون - شارع العمده - خلف الجمعيه الزراعيه - القمانه - نجع حمادي - قنا</t>
  </si>
  <si>
    <t>بضابا مفيد صليب محارب</t>
  </si>
  <si>
    <t>نصحى مقار نصحى</t>
  </si>
  <si>
    <t>الرحمانيه</t>
  </si>
  <si>
    <t>نجارة باب و شباك</t>
  </si>
  <si>
    <t>اشغال خشبية</t>
  </si>
  <si>
    <t>حرفى وصناعى</t>
  </si>
  <si>
    <t>منزل بضابا مفيد - بجوار مركز العمده عبدالملاك - الرحمانيه - نجع حمادي - قنا</t>
  </si>
  <si>
    <t>كمال ايوب لوقا بشاره</t>
  </si>
  <si>
    <t>كيرلس عاطف ثابت</t>
  </si>
  <si>
    <t>نجع حمادى</t>
  </si>
  <si>
    <t>اعمال نقاشة</t>
  </si>
  <si>
    <t>اعمال الصيانة و التصليح</t>
  </si>
  <si>
    <t>منزل كمال ايوب - شارع السنترال القديم - امام السنترال - نجع حمادي - قنا</t>
  </si>
  <si>
    <t>حمدي محمود محمد محمد</t>
  </si>
  <si>
    <t>مينا مخلف نسيم</t>
  </si>
  <si>
    <t>دشنا</t>
  </si>
  <si>
    <t>منزل حمدي محمود - ش السنجق - الصعايده - دشنا - قنا</t>
  </si>
  <si>
    <t>محمود عبدالفتاح محمود محمد</t>
  </si>
  <si>
    <t>القصر</t>
  </si>
  <si>
    <t>عمرة توكتوك / تروسيكل</t>
  </si>
  <si>
    <t>عمرة و لف موتور</t>
  </si>
  <si>
    <t>منزل عبدالفتاح محمود - بجوار السوق - القصر - نجع حمادي - قنا</t>
  </si>
  <si>
    <t>محمد رفعت محمد عبدالعزيز</t>
  </si>
  <si>
    <t>منزل رفعت محمد - بجوار الجامع - نجع عمران - نجع حمادي - قنا</t>
  </si>
  <si>
    <t>خالد حسين هوي حسين</t>
  </si>
  <si>
    <t>منزل حسين هوي - بجوار جامع علي بدوي - سلاجه - نجع حمادي - قنا</t>
  </si>
  <si>
    <t>احلام علي محمد علي</t>
  </si>
  <si>
    <t>اميل رفعت حبيب بساده</t>
  </si>
  <si>
    <t>منتجات البان</t>
  </si>
  <si>
    <t>بائع متجول</t>
  </si>
  <si>
    <t>تجارى</t>
  </si>
  <si>
    <t>منزل احلام علي - شارع الخلابصه - الرحملنيه - نجع حمادي - قنا</t>
  </si>
  <si>
    <t>صبرنا نور حسن محمدين</t>
  </si>
  <si>
    <t>منزل صبرنا نور - بجوار جامع الشيخ همام - الكلح الغربي - نجع حمادي - قنا</t>
  </si>
  <si>
    <t>صباح محمد خيري احمد محمود</t>
  </si>
  <si>
    <t>اولاد نجم</t>
  </si>
  <si>
    <t>منزل عارف محمد - بجوار مسجد العتيق - نجع ابو عيسي - اولاد نجم - نجع حمادي - قنا</t>
  </si>
  <si>
    <t>ايدى فى ايدك 30% شريحة ( ب ) 50000</t>
  </si>
  <si>
    <t>ولاء بخيت محمد احمد</t>
  </si>
  <si>
    <t>هو</t>
  </si>
  <si>
    <t>منزل محمود عبداللاه - شارع فجر الاسلام - بجوار جامع فجر الاسلام - هو - قنا</t>
  </si>
  <si>
    <t>منزل محمود عبداللاه - شارع فجر الاسلام - بجوار جامع فجر الاسلام - هو - نجع حمادي - قنا</t>
  </si>
  <si>
    <t>كرم ابوالحمد احمد حسن</t>
  </si>
  <si>
    <t>تجارة بقالة</t>
  </si>
  <si>
    <t>تجارة مواد غذائية</t>
  </si>
  <si>
    <t>بنك الاسكندرية</t>
  </si>
  <si>
    <t>منزل كرم ابوالحمد - بجوار الشيخ محمد عسران- ش الشيخ محمد عسران-القصر-نجع حمادي- قنا</t>
  </si>
  <si>
    <t>بنك الاسكندرية 30% شريحة ( ب ) 50000</t>
  </si>
  <si>
    <t>محمود عبدالمالك احمد محمود</t>
  </si>
  <si>
    <t>منزل محمود عبدالمالك - بجوار فيلا عبدالوهاب - نجع الخطيب - اولاد نجم -نجع حمادي -قنا</t>
  </si>
  <si>
    <t>السيد محمد عباس محمد</t>
  </si>
  <si>
    <t>منزل محمد عباس - بجوار مدرسه الفصل الواحد - عزبه ادم - الهيشه - نجع حمادي - قنا</t>
  </si>
  <si>
    <t>حسن ابوالوفا شيبه الحمد اسماعيل</t>
  </si>
  <si>
    <t>صيانة سيارة بغرض البيع اوالتأجير</t>
  </si>
  <si>
    <t>منزل حسن ابوالوفا - بجوار مسجد ابوعياط - اولاد نجم الحفناويه - نجع حمادي - قنا</t>
  </si>
  <si>
    <t>صفاء خلف جادالرب حسن</t>
  </si>
  <si>
    <t>ابانوب نصيف تسمع</t>
  </si>
  <si>
    <t>السلاميه</t>
  </si>
  <si>
    <t>منزل فايز تغيان - بجوار مركز لشباب - عزبه البوصه - نجع حمادي - قنا</t>
  </si>
  <si>
    <t>محمد فؤاد عبداللاه جهلان</t>
  </si>
  <si>
    <t>الرحمانيه قبلي - بجوار المدرسه الابتدائيه المشتركه والجامع الكبير - نجع حمادي - قنا</t>
  </si>
  <si>
    <t>ايمان احمد يحيي احمد</t>
  </si>
  <si>
    <t>منزل احمد يحيي - شارع 15 مايو - اعلي صيدليه هيثم - نجع حمادي - قنا</t>
  </si>
  <si>
    <t>ايمان عادل عثمان السيد</t>
  </si>
  <si>
    <t>منزل عبدالصبور ابوالحمد - ش الزهراء - بجوار جامع العرب - هو - نجع حمادي - قنا</t>
  </si>
  <si>
    <t>كرم صابر عبدالصبور ابوالحمد</t>
  </si>
  <si>
    <t>اعمال سباكة</t>
  </si>
  <si>
    <t>ناهد مصطفي علي محمد</t>
  </si>
  <si>
    <t>تربية و تسمين اغنام</t>
  </si>
  <si>
    <t>منزل عبدالنعيم الشعراني - الحلفايه بحري - ش البرهمات - بجوار مسجد السلام - نجع حمادي - قنا</t>
  </si>
  <si>
    <t>احمد محمد عبدالستار فاوي</t>
  </si>
  <si>
    <t>مخبز بلدي</t>
  </si>
  <si>
    <t>انتاج مواد غذائية</t>
  </si>
  <si>
    <t>منزل محمد عبدالستار - بجوار الوحده الصحيه - الكلح الغربي - نجع حمادي - قنا</t>
  </si>
  <si>
    <t>رزيقي عبيد فهيم اسحق</t>
  </si>
  <si>
    <t>تجارة طيور حية</t>
  </si>
  <si>
    <t>منزل رزيقي عبيد - ش كنيسه الملاك - الرحمانيه قبلي - نجع حمادي - قنا</t>
  </si>
  <si>
    <t>كيرلس ثروت تامر توفيق</t>
  </si>
  <si>
    <t>تصنيع تماثيل خشبية</t>
  </si>
  <si>
    <t>تمكين السيدات اجتماعياً واقتصادياً</t>
  </si>
  <si>
    <t>منزل صفوت انور - شارع 15 مايو - امام مسجد الفتح - نجع حمادي - قنا</t>
  </si>
  <si>
    <t>الهيئة الاسبانية للترويج الاجتماعي</t>
  </si>
  <si>
    <t>تمكين السيدات اجتماعيا 20%</t>
  </si>
  <si>
    <t>انتصار حمدي تهامي علي</t>
  </si>
  <si>
    <t>البنك الاهلى المصري</t>
  </si>
  <si>
    <t>منزل ابوالسعود عبدالفتاح - بجوار صيدليه جينو البطحه - نجع حمادي قنا</t>
  </si>
  <si>
    <t>تمويل البنك الاهلي المصري</t>
  </si>
  <si>
    <t>البنك الاهلى 29% شريحة ( أ ) 20000</t>
  </si>
  <si>
    <t>هاني فتحي يعقوب خليل</t>
  </si>
  <si>
    <t>بهجوره</t>
  </si>
  <si>
    <t>خراطة و لحام</t>
  </si>
  <si>
    <t>منزل هاني فتحي - ش المشروع - طريق فرشوط نجع حمادي السريع - بهجوره - نجع حمادي - قنا</t>
  </si>
  <si>
    <t>ملك ثومه نظير مغربي - طريق فرشوط نجع حمادي السريع - نجع حمادي -قنا</t>
  </si>
  <si>
    <t>البنك الاهلى30% شريحة ( ب ) 50000</t>
  </si>
  <si>
    <t>مراد هاني فتحي يعقوب</t>
  </si>
  <si>
    <t>قطع غيار</t>
  </si>
  <si>
    <t>منزل هاني فتحي - ش الرحمه - بهجوره - نجع حمادي - قنا</t>
  </si>
  <si>
    <t>العربي زكي محمود محمد</t>
  </si>
  <si>
    <t>منزل زكي محمود - ش النيل - بجوار جامع الرحمن - نجع الغليط - الهيشه - نجع حمادي - قنا</t>
  </si>
  <si>
    <t>حسن خلف ابوالفضل سليمان</t>
  </si>
  <si>
    <t>منزل حسن خلف - بجوار معمل الطوب - اولاد علي - بهجوره - نجع حمادي - قنا</t>
  </si>
  <si>
    <t>سامي ابوالمجد لبيب احمد</t>
  </si>
  <si>
    <t>تجارة ادوات صحية</t>
  </si>
  <si>
    <t>تجارة لوازم بناء وديكور</t>
  </si>
  <si>
    <t>منزل سامي ابوالمجد - بجوار قهوه سيد بهيج - كوم السيد - اولاد نجم - نجع حمادي - قنا</t>
  </si>
  <si>
    <t>احمد ابوالعلا عبدالجواد ابوالعلا</t>
  </si>
  <si>
    <t>منزل احمد ابوالعلا - بجوار الوحده الصحيه - كوم السيد - اولاد نجم - نجع حمادي - قنا</t>
  </si>
  <si>
    <t>عبدالناصر ابوالمجد لبيب احمد</t>
  </si>
  <si>
    <t>منزل ابوالمجد لبيب - بجوار قهوه سيد بهيج - اولاد نجم - نجع حمادي - قنا</t>
  </si>
  <si>
    <t>اسامه علي حافظ سيد</t>
  </si>
  <si>
    <t>منزل اسامه علي - ش راشد بكري - العزايزيه - دشنا - قنا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</si>
</sst>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36"/>
  <sheetViews>
    <sheetView rightToLeft="1" tabSelected="1" topLeftCell="I1" workbookViewId="0">
      <selection activeCell="L41" sqref="L41"/>
    </sheetView>
  </sheetViews>
  <sheetFormatPr defaultRowHeight="14.4" x14ac:dyDescent="0.3"/>
  <cols>
    <col min="1" max="1" width="21" bestFit="1" customWidth="1"/>
    <col min="2" max="2" width="7.21875" bestFit="1" customWidth="1"/>
    <col min="3" max="3" width="15.109375" style="4" bestFit="1" customWidth="1"/>
    <col min="4" max="4" width="15" bestFit="1" customWidth="1"/>
    <col min="5" max="5" width="7.77734375" bestFit="1" customWidth="1"/>
    <col min="6" max="6" width="22.109375" bestFit="1" customWidth="1"/>
    <col min="7" max="7" width="16" bestFit="1" customWidth="1"/>
    <col min="8" max="8" width="14.44140625" bestFit="1" customWidth="1"/>
    <col min="9" max="9" width="21.33203125" bestFit="1" customWidth="1"/>
    <col min="10" max="11" width="10.88671875" bestFit="1" customWidth="1"/>
    <col min="12" max="13" width="60.77734375" bestFit="1" customWidth="1"/>
    <col min="14" max="14" width="10.5546875" bestFit="1" customWidth="1"/>
    <col min="15" max="16" width="8" bestFit="1" customWidth="1"/>
    <col min="17" max="17" width="9.6640625" bestFit="1" customWidth="1"/>
    <col min="18" max="18" width="21.44140625" bestFit="1" customWidth="1"/>
    <col min="19" max="19" width="28.777343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idden="1" x14ac:dyDescent="0.3">
      <c r="A2" t="s">
        <v>18</v>
      </c>
      <c r="B2">
        <v>3171</v>
      </c>
      <c r="C2">
        <v>28204032701337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 s="1"/>
      <c r="K2">
        <v>1000819885</v>
      </c>
      <c r="L2" t="s">
        <v>24</v>
      </c>
      <c r="M2" t="s">
        <v>24</v>
      </c>
      <c r="N2" s="1">
        <v>45692</v>
      </c>
      <c r="O2">
        <v>18</v>
      </c>
      <c r="P2">
        <v>20000</v>
      </c>
      <c r="Q2">
        <v>3</v>
      </c>
      <c r="R2" t="s">
        <v>25</v>
      </c>
      <c r="S2" t="s">
        <v>26</v>
      </c>
    </row>
    <row r="3" spans="1:19" hidden="1" x14ac:dyDescent="0.3">
      <c r="A3" t="s">
        <v>27</v>
      </c>
      <c r="B3">
        <v>4142</v>
      </c>
      <c r="C3">
        <v>29506132702047</v>
      </c>
      <c r="D3" t="s">
        <v>19</v>
      </c>
      <c r="E3" t="s">
        <v>28</v>
      </c>
      <c r="F3" t="s">
        <v>21</v>
      </c>
      <c r="G3" t="s">
        <v>21</v>
      </c>
      <c r="H3" t="s">
        <v>22</v>
      </c>
      <c r="I3" t="s">
        <v>23</v>
      </c>
      <c r="J3" s="1"/>
      <c r="K3">
        <v>1016464589</v>
      </c>
      <c r="L3" t="s">
        <v>29</v>
      </c>
      <c r="M3" t="s">
        <v>29</v>
      </c>
      <c r="N3" s="1">
        <v>45692</v>
      </c>
      <c r="O3">
        <v>18</v>
      </c>
      <c r="P3">
        <v>7000</v>
      </c>
      <c r="Q3">
        <v>4</v>
      </c>
      <c r="R3" t="s">
        <v>25</v>
      </c>
      <c r="S3" t="s">
        <v>26</v>
      </c>
    </row>
    <row r="4" spans="1:19" hidden="1" x14ac:dyDescent="0.3">
      <c r="A4" t="s">
        <v>30</v>
      </c>
      <c r="B4">
        <v>4681</v>
      </c>
      <c r="C4">
        <v>28009011405064</v>
      </c>
      <c r="D4" t="s">
        <v>19</v>
      </c>
      <c r="E4" t="s">
        <v>20</v>
      </c>
      <c r="F4" t="s">
        <v>31</v>
      </c>
      <c r="G4" t="s">
        <v>32</v>
      </c>
      <c r="H4" t="s">
        <v>33</v>
      </c>
      <c r="I4" t="s">
        <v>23</v>
      </c>
      <c r="J4">
        <v>1027779820</v>
      </c>
      <c r="K4">
        <v>1027779820</v>
      </c>
      <c r="L4" t="s">
        <v>34</v>
      </c>
      <c r="M4" t="s">
        <v>34</v>
      </c>
      <c r="N4" s="1">
        <v>45692</v>
      </c>
      <c r="O4">
        <v>12</v>
      </c>
      <c r="P4">
        <v>10000</v>
      </c>
      <c r="Q4">
        <v>3</v>
      </c>
      <c r="R4" t="s">
        <v>25</v>
      </c>
      <c r="S4" t="s">
        <v>26</v>
      </c>
    </row>
    <row r="5" spans="1:19" hidden="1" x14ac:dyDescent="0.3">
      <c r="A5" t="s">
        <v>35</v>
      </c>
      <c r="B5">
        <v>4790</v>
      </c>
      <c r="C5">
        <v>26308302701612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23</v>
      </c>
      <c r="J5" s="1"/>
      <c r="K5">
        <v>1225520804</v>
      </c>
      <c r="L5" t="s">
        <v>41</v>
      </c>
      <c r="M5" t="s">
        <v>41</v>
      </c>
      <c r="N5" s="1">
        <v>45692</v>
      </c>
      <c r="O5">
        <v>18</v>
      </c>
      <c r="P5">
        <v>20000</v>
      </c>
      <c r="Q5">
        <v>3</v>
      </c>
      <c r="R5" t="s">
        <v>25</v>
      </c>
      <c r="S5" t="s">
        <v>26</v>
      </c>
    </row>
    <row r="6" spans="1:19" hidden="1" x14ac:dyDescent="0.3">
      <c r="A6" t="s">
        <v>42</v>
      </c>
      <c r="B6">
        <v>5397</v>
      </c>
      <c r="C6">
        <v>26602102700714</v>
      </c>
      <c r="D6" t="s">
        <v>43</v>
      </c>
      <c r="E6" t="s">
        <v>44</v>
      </c>
      <c r="F6" t="s">
        <v>45</v>
      </c>
      <c r="G6" t="s">
        <v>46</v>
      </c>
      <c r="H6" t="s">
        <v>33</v>
      </c>
      <c r="I6" t="s">
        <v>23</v>
      </c>
      <c r="J6" s="1"/>
      <c r="K6">
        <v>1221922234</v>
      </c>
      <c r="L6" t="s">
        <v>47</v>
      </c>
      <c r="M6" t="s">
        <v>47</v>
      </c>
      <c r="N6" s="1">
        <v>45692</v>
      </c>
      <c r="O6">
        <v>18</v>
      </c>
      <c r="P6">
        <v>20000</v>
      </c>
      <c r="Q6">
        <v>2</v>
      </c>
      <c r="R6" t="s">
        <v>25</v>
      </c>
      <c r="S6" t="s">
        <v>26</v>
      </c>
    </row>
    <row r="7" spans="1:19" hidden="1" x14ac:dyDescent="0.3">
      <c r="A7" t="s">
        <v>48</v>
      </c>
      <c r="B7">
        <v>6299</v>
      </c>
      <c r="C7">
        <v>27112052700994</v>
      </c>
      <c r="D7" t="s">
        <v>49</v>
      </c>
      <c r="E7" t="s">
        <v>50</v>
      </c>
      <c r="F7" t="s">
        <v>21</v>
      </c>
      <c r="G7" t="s">
        <v>21</v>
      </c>
      <c r="H7" t="s">
        <v>22</v>
      </c>
      <c r="I7" t="s">
        <v>23</v>
      </c>
      <c r="J7" s="1"/>
      <c r="K7">
        <v>1092474200</v>
      </c>
      <c r="L7" t="s">
        <v>51</v>
      </c>
      <c r="M7" t="s">
        <v>51</v>
      </c>
      <c r="N7" s="1">
        <v>45692</v>
      </c>
      <c r="O7">
        <v>18</v>
      </c>
      <c r="P7">
        <v>20000</v>
      </c>
      <c r="Q7">
        <v>1</v>
      </c>
      <c r="R7" t="s">
        <v>25</v>
      </c>
      <c r="S7" t="s">
        <v>26</v>
      </c>
    </row>
    <row r="8" spans="1:19" hidden="1" x14ac:dyDescent="0.3">
      <c r="A8" t="s">
        <v>52</v>
      </c>
      <c r="B8">
        <v>6315</v>
      </c>
      <c r="C8">
        <v>30204302701376</v>
      </c>
      <c r="D8" t="s">
        <v>49</v>
      </c>
      <c r="E8" t="s">
        <v>53</v>
      </c>
      <c r="F8" t="s">
        <v>54</v>
      </c>
      <c r="G8" t="s">
        <v>55</v>
      </c>
      <c r="H8" t="s">
        <v>33</v>
      </c>
      <c r="I8" t="s">
        <v>23</v>
      </c>
      <c r="J8" s="1"/>
      <c r="K8">
        <v>1019701915</v>
      </c>
      <c r="L8" t="s">
        <v>56</v>
      </c>
      <c r="M8" t="s">
        <v>56</v>
      </c>
      <c r="N8" s="1">
        <v>45692</v>
      </c>
      <c r="O8">
        <v>18</v>
      </c>
      <c r="P8">
        <v>20000</v>
      </c>
      <c r="Q8">
        <v>1</v>
      </c>
      <c r="R8" t="s">
        <v>25</v>
      </c>
      <c r="S8" t="s">
        <v>26</v>
      </c>
    </row>
    <row r="9" spans="1:19" hidden="1" x14ac:dyDescent="0.3">
      <c r="A9" t="s">
        <v>57</v>
      </c>
      <c r="B9">
        <v>6316</v>
      </c>
      <c r="C9">
        <v>30009252703871</v>
      </c>
      <c r="D9" t="s">
        <v>19</v>
      </c>
      <c r="E9" t="s">
        <v>28</v>
      </c>
      <c r="F9" t="s">
        <v>21</v>
      </c>
      <c r="G9" t="s">
        <v>21</v>
      </c>
      <c r="H9" t="s">
        <v>22</v>
      </c>
      <c r="I9" t="s">
        <v>23</v>
      </c>
      <c r="J9" s="1"/>
      <c r="K9">
        <v>1093014382</v>
      </c>
      <c r="L9" t="s">
        <v>58</v>
      </c>
      <c r="M9" t="s">
        <v>58</v>
      </c>
      <c r="N9" s="1">
        <v>45692</v>
      </c>
      <c r="O9">
        <v>18</v>
      </c>
      <c r="P9">
        <v>20000</v>
      </c>
      <c r="Q9">
        <v>1</v>
      </c>
      <c r="R9" t="s">
        <v>25</v>
      </c>
      <c r="S9" t="s">
        <v>26</v>
      </c>
    </row>
    <row r="10" spans="1:19" hidden="1" x14ac:dyDescent="0.3">
      <c r="A10" t="s">
        <v>59</v>
      </c>
      <c r="B10">
        <v>6323</v>
      </c>
      <c r="C10">
        <v>29601142703656</v>
      </c>
      <c r="D10" t="s">
        <v>49</v>
      </c>
      <c r="E10" t="s">
        <v>20</v>
      </c>
      <c r="F10" t="s">
        <v>21</v>
      </c>
      <c r="G10" t="s">
        <v>21</v>
      </c>
      <c r="H10" t="s">
        <v>22</v>
      </c>
      <c r="I10" t="s">
        <v>23</v>
      </c>
      <c r="J10" s="1"/>
      <c r="K10">
        <v>1030290133</v>
      </c>
      <c r="L10" t="s">
        <v>60</v>
      </c>
      <c r="M10" t="s">
        <v>60</v>
      </c>
      <c r="N10" s="1">
        <v>45692</v>
      </c>
      <c r="O10">
        <v>18</v>
      </c>
      <c r="P10">
        <v>15000</v>
      </c>
      <c r="Q10">
        <v>1</v>
      </c>
      <c r="R10" t="s">
        <v>25</v>
      </c>
      <c r="S10" t="s">
        <v>26</v>
      </c>
    </row>
    <row r="11" spans="1:19" hidden="1" x14ac:dyDescent="0.3">
      <c r="A11" t="s">
        <v>61</v>
      </c>
      <c r="B11">
        <v>6325</v>
      </c>
      <c r="C11">
        <v>27803022700828</v>
      </c>
      <c r="D11" t="s">
        <v>62</v>
      </c>
      <c r="E11" t="s">
        <v>37</v>
      </c>
      <c r="F11" t="s">
        <v>63</v>
      </c>
      <c r="G11" t="s">
        <v>64</v>
      </c>
      <c r="H11" t="s">
        <v>65</v>
      </c>
      <c r="I11" t="s">
        <v>23</v>
      </c>
      <c r="J11">
        <v>1126252358</v>
      </c>
      <c r="K11">
        <v>1126252358</v>
      </c>
      <c r="L11" t="s">
        <v>66</v>
      </c>
      <c r="M11" t="s">
        <v>66</v>
      </c>
      <c r="N11" s="1">
        <v>45692</v>
      </c>
      <c r="O11">
        <v>18</v>
      </c>
      <c r="P11">
        <v>10000</v>
      </c>
      <c r="Q11">
        <v>1</v>
      </c>
      <c r="R11" t="s">
        <v>25</v>
      </c>
      <c r="S11" t="s">
        <v>26</v>
      </c>
    </row>
    <row r="12" spans="1:19" hidden="1" x14ac:dyDescent="0.3">
      <c r="A12" t="s">
        <v>67</v>
      </c>
      <c r="B12">
        <v>6326</v>
      </c>
      <c r="C12">
        <v>27410012700925</v>
      </c>
      <c r="D12" t="s">
        <v>19</v>
      </c>
      <c r="E12" t="s">
        <v>28</v>
      </c>
      <c r="F12" t="s">
        <v>21</v>
      </c>
      <c r="G12" t="s">
        <v>21</v>
      </c>
      <c r="H12" t="s">
        <v>22</v>
      </c>
      <c r="I12" t="s">
        <v>23</v>
      </c>
      <c r="J12" s="1"/>
      <c r="K12">
        <v>1025546617</v>
      </c>
      <c r="L12" t="s">
        <v>68</v>
      </c>
      <c r="M12" t="s">
        <v>68</v>
      </c>
      <c r="N12" s="1">
        <v>45692</v>
      </c>
      <c r="O12">
        <v>18</v>
      </c>
      <c r="P12">
        <v>11000</v>
      </c>
      <c r="Q12">
        <v>1</v>
      </c>
      <c r="R12" t="s">
        <v>25</v>
      </c>
      <c r="S12" t="s">
        <v>26</v>
      </c>
    </row>
    <row r="13" spans="1:19" hidden="1" x14ac:dyDescent="0.3">
      <c r="A13" t="s">
        <v>69</v>
      </c>
      <c r="B13">
        <v>3339</v>
      </c>
      <c r="C13">
        <v>27707132700425</v>
      </c>
      <c r="D13" t="s">
        <v>36</v>
      </c>
      <c r="E13" t="s">
        <v>70</v>
      </c>
      <c r="F13" t="s">
        <v>21</v>
      </c>
      <c r="G13" t="s">
        <v>21</v>
      </c>
      <c r="H13" t="s">
        <v>22</v>
      </c>
      <c r="I13" t="s">
        <v>23</v>
      </c>
      <c r="J13" s="1"/>
      <c r="K13">
        <v>1093130595</v>
      </c>
      <c r="L13" t="s">
        <v>71</v>
      </c>
      <c r="M13" t="s">
        <v>71</v>
      </c>
      <c r="N13" s="1">
        <v>45692</v>
      </c>
      <c r="O13">
        <v>18</v>
      </c>
      <c r="P13">
        <v>49000</v>
      </c>
      <c r="Q13">
        <v>6</v>
      </c>
      <c r="R13" t="s">
        <v>25</v>
      </c>
      <c r="S13" t="s">
        <v>72</v>
      </c>
    </row>
    <row r="14" spans="1:19" hidden="1" x14ac:dyDescent="0.3">
      <c r="A14" t="s">
        <v>73</v>
      </c>
      <c r="B14">
        <v>5361</v>
      </c>
      <c r="C14">
        <v>29603202702665</v>
      </c>
      <c r="D14" t="s">
        <v>43</v>
      </c>
      <c r="E14" t="s">
        <v>74</v>
      </c>
      <c r="F14" t="s">
        <v>31</v>
      </c>
      <c r="G14" t="s">
        <v>32</v>
      </c>
      <c r="H14" t="s">
        <v>33</v>
      </c>
      <c r="I14" t="s">
        <v>23</v>
      </c>
      <c r="J14" s="1"/>
      <c r="K14">
        <v>1021824302</v>
      </c>
      <c r="L14" t="s">
        <v>75</v>
      </c>
      <c r="M14" t="s">
        <v>76</v>
      </c>
      <c r="N14" s="1">
        <v>45692</v>
      </c>
      <c r="O14">
        <v>18</v>
      </c>
      <c r="P14">
        <v>30000</v>
      </c>
      <c r="Q14">
        <v>2</v>
      </c>
      <c r="R14" t="s">
        <v>25</v>
      </c>
      <c r="S14" t="s">
        <v>72</v>
      </c>
    </row>
    <row r="15" spans="1:19" hidden="1" x14ac:dyDescent="0.3">
      <c r="A15" t="s">
        <v>77</v>
      </c>
      <c r="B15">
        <v>1242</v>
      </c>
      <c r="C15">
        <v>26211222700611</v>
      </c>
      <c r="D15" t="s">
        <v>62</v>
      </c>
      <c r="E15" t="s">
        <v>53</v>
      </c>
      <c r="F15" t="s">
        <v>78</v>
      </c>
      <c r="G15" t="s">
        <v>79</v>
      </c>
      <c r="H15" t="s">
        <v>65</v>
      </c>
      <c r="I15" t="s">
        <v>80</v>
      </c>
      <c r="J15" s="1"/>
      <c r="K15">
        <v>1119154929</v>
      </c>
      <c r="L15" t="s">
        <v>81</v>
      </c>
      <c r="M15" t="s">
        <v>81</v>
      </c>
      <c r="N15" s="1">
        <v>45692</v>
      </c>
      <c r="O15">
        <v>18</v>
      </c>
      <c r="P15">
        <v>34000</v>
      </c>
      <c r="Q15">
        <v>3</v>
      </c>
      <c r="R15" t="s">
        <v>80</v>
      </c>
      <c r="S15" t="s">
        <v>82</v>
      </c>
    </row>
    <row r="16" spans="1:19" hidden="1" x14ac:dyDescent="0.3">
      <c r="A16" t="s">
        <v>83</v>
      </c>
      <c r="B16">
        <v>3178</v>
      </c>
      <c r="C16">
        <v>28303122702039</v>
      </c>
      <c r="D16" t="s">
        <v>36</v>
      </c>
      <c r="E16" t="s">
        <v>70</v>
      </c>
      <c r="F16" t="s">
        <v>21</v>
      </c>
      <c r="G16" t="s">
        <v>21</v>
      </c>
      <c r="H16" t="s">
        <v>22</v>
      </c>
      <c r="I16" t="s">
        <v>80</v>
      </c>
      <c r="J16" s="1"/>
      <c r="K16">
        <v>1067992496</v>
      </c>
      <c r="L16" t="s">
        <v>84</v>
      </c>
      <c r="M16" t="s">
        <v>84</v>
      </c>
      <c r="N16" s="1">
        <v>45692</v>
      </c>
      <c r="O16">
        <v>18</v>
      </c>
      <c r="P16">
        <v>30000</v>
      </c>
      <c r="Q16">
        <v>4</v>
      </c>
      <c r="R16" t="s">
        <v>80</v>
      </c>
      <c r="S16" t="s">
        <v>82</v>
      </c>
    </row>
    <row r="17" spans="1:19" hidden="1" x14ac:dyDescent="0.3">
      <c r="A17" t="s">
        <v>85</v>
      </c>
      <c r="B17">
        <v>5285</v>
      </c>
      <c r="C17">
        <v>28312262700914</v>
      </c>
      <c r="D17" t="s">
        <v>43</v>
      </c>
      <c r="E17" t="s">
        <v>44</v>
      </c>
      <c r="F17" t="s">
        <v>21</v>
      </c>
      <c r="G17" t="s">
        <v>21</v>
      </c>
      <c r="H17" t="s">
        <v>22</v>
      </c>
      <c r="I17" t="s">
        <v>80</v>
      </c>
      <c r="J17" s="1"/>
      <c r="K17">
        <v>1157027498</v>
      </c>
      <c r="L17" t="s">
        <v>86</v>
      </c>
      <c r="M17" t="s">
        <v>86</v>
      </c>
      <c r="N17" s="1">
        <v>45692</v>
      </c>
      <c r="O17">
        <v>18</v>
      </c>
      <c r="P17">
        <v>34000</v>
      </c>
      <c r="Q17">
        <v>2</v>
      </c>
      <c r="R17" t="s">
        <v>80</v>
      </c>
      <c r="S17" t="s">
        <v>82</v>
      </c>
    </row>
    <row r="18" spans="1:19" hidden="1" x14ac:dyDescent="0.3">
      <c r="A18" t="s">
        <v>87</v>
      </c>
      <c r="B18">
        <v>5472</v>
      </c>
      <c r="C18">
        <v>28301302701615</v>
      </c>
      <c r="D18" t="s">
        <v>36</v>
      </c>
      <c r="E18" t="s">
        <v>70</v>
      </c>
      <c r="F18" t="s">
        <v>88</v>
      </c>
      <c r="G18" t="s">
        <v>46</v>
      </c>
      <c r="H18" t="s">
        <v>33</v>
      </c>
      <c r="I18" t="s">
        <v>80</v>
      </c>
      <c r="J18">
        <v>1008763445</v>
      </c>
      <c r="K18">
        <v>1008763445</v>
      </c>
      <c r="L18" t="s">
        <v>89</v>
      </c>
      <c r="M18" t="s">
        <v>89</v>
      </c>
      <c r="N18" s="1">
        <v>45692</v>
      </c>
      <c r="O18">
        <v>18</v>
      </c>
      <c r="P18">
        <v>34000</v>
      </c>
      <c r="Q18">
        <v>2</v>
      </c>
      <c r="R18" t="s">
        <v>80</v>
      </c>
      <c r="S18" t="s">
        <v>82</v>
      </c>
    </row>
    <row r="19" spans="1:19" hidden="1" x14ac:dyDescent="0.3">
      <c r="A19" t="s">
        <v>90</v>
      </c>
      <c r="B19">
        <v>6309</v>
      </c>
      <c r="C19">
        <v>29003132702487</v>
      </c>
      <c r="D19" t="s">
        <v>91</v>
      </c>
      <c r="E19" t="s">
        <v>92</v>
      </c>
      <c r="F19" t="s">
        <v>78</v>
      </c>
      <c r="G19" t="s">
        <v>79</v>
      </c>
      <c r="H19" t="s">
        <v>65</v>
      </c>
      <c r="I19" t="s">
        <v>80</v>
      </c>
      <c r="J19" s="1"/>
      <c r="K19">
        <v>1501140810</v>
      </c>
      <c r="L19" t="s">
        <v>93</v>
      </c>
      <c r="M19" t="s">
        <v>93</v>
      </c>
      <c r="N19" s="1">
        <v>45692</v>
      </c>
      <c r="O19">
        <v>18</v>
      </c>
      <c r="P19">
        <v>25000</v>
      </c>
      <c r="Q19">
        <v>1</v>
      </c>
      <c r="R19" t="s">
        <v>80</v>
      </c>
      <c r="S19" t="s">
        <v>82</v>
      </c>
    </row>
    <row r="20" spans="1:19" hidden="1" x14ac:dyDescent="0.3">
      <c r="A20" t="s">
        <v>94</v>
      </c>
      <c r="B20">
        <v>6313</v>
      </c>
      <c r="C20">
        <v>28205192700431</v>
      </c>
      <c r="D20" t="s">
        <v>91</v>
      </c>
      <c r="E20" t="s">
        <v>37</v>
      </c>
      <c r="F20" t="s">
        <v>78</v>
      </c>
      <c r="G20" t="s">
        <v>79</v>
      </c>
      <c r="H20" t="s">
        <v>65</v>
      </c>
      <c r="I20" t="s">
        <v>80</v>
      </c>
      <c r="J20" s="1"/>
      <c r="K20">
        <v>1156168140</v>
      </c>
      <c r="L20" t="s">
        <v>95</v>
      </c>
      <c r="M20" t="s">
        <v>95</v>
      </c>
      <c r="N20" s="1">
        <v>45692</v>
      </c>
      <c r="O20">
        <v>18</v>
      </c>
      <c r="P20">
        <v>25000</v>
      </c>
      <c r="Q20">
        <v>1</v>
      </c>
      <c r="R20" t="s">
        <v>80</v>
      </c>
      <c r="S20" t="s">
        <v>82</v>
      </c>
    </row>
    <row r="21" spans="1:19" hidden="1" x14ac:dyDescent="0.3">
      <c r="A21" t="s">
        <v>96</v>
      </c>
      <c r="B21">
        <v>6317</v>
      </c>
      <c r="C21">
        <v>28409292704802</v>
      </c>
      <c r="D21" t="s">
        <v>19</v>
      </c>
      <c r="E21" t="s">
        <v>44</v>
      </c>
      <c r="F21" t="s">
        <v>31</v>
      </c>
      <c r="G21" t="s">
        <v>32</v>
      </c>
      <c r="H21" t="s">
        <v>33</v>
      </c>
      <c r="I21" t="s">
        <v>80</v>
      </c>
      <c r="J21" s="1"/>
      <c r="K21">
        <v>1033336307</v>
      </c>
      <c r="L21" t="s">
        <v>97</v>
      </c>
      <c r="M21" t="s">
        <v>97</v>
      </c>
      <c r="N21" s="1">
        <v>45692</v>
      </c>
      <c r="O21">
        <v>18</v>
      </c>
      <c r="P21">
        <v>25000</v>
      </c>
      <c r="Q21">
        <v>1</v>
      </c>
      <c r="R21" t="s">
        <v>80</v>
      </c>
      <c r="S21" t="s">
        <v>82</v>
      </c>
    </row>
    <row r="22" spans="1:19" hidden="1" x14ac:dyDescent="0.3">
      <c r="A22" t="s">
        <v>98</v>
      </c>
      <c r="B22">
        <v>6318</v>
      </c>
      <c r="C22">
        <v>29812292700524</v>
      </c>
      <c r="D22" t="s">
        <v>43</v>
      </c>
      <c r="E22" t="s">
        <v>74</v>
      </c>
      <c r="F22" t="s">
        <v>78</v>
      </c>
      <c r="G22" t="s">
        <v>79</v>
      </c>
      <c r="H22" t="s">
        <v>65</v>
      </c>
      <c r="I22" t="s">
        <v>80</v>
      </c>
      <c r="J22" s="1"/>
      <c r="K22">
        <v>1016354416</v>
      </c>
      <c r="L22" t="s">
        <v>99</v>
      </c>
      <c r="M22" t="s">
        <v>99</v>
      </c>
      <c r="N22" s="1">
        <v>45692</v>
      </c>
      <c r="O22">
        <v>18</v>
      </c>
      <c r="P22">
        <v>25000</v>
      </c>
      <c r="Q22">
        <v>1</v>
      </c>
      <c r="R22" t="s">
        <v>80</v>
      </c>
      <c r="S22" t="s">
        <v>82</v>
      </c>
    </row>
    <row r="23" spans="1:19" hidden="1" x14ac:dyDescent="0.3">
      <c r="A23" t="s">
        <v>100</v>
      </c>
      <c r="B23">
        <v>6319</v>
      </c>
      <c r="C23">
        <v>29901122701693</v>
      </c>
      <c r="D23" t="s">
        <v>43</v>
      </c>
      <c r="E23" t="s">
        <v>74</v>
      </c>
      <c r="F23" t="s">
        <v>101</v>
      </c>
      <c r="G23" t="s">
        <v>46</v>
      </c>
      <c r="H23" t="s">
        <v>33</v>
      </c>
      <c r="I23" t="s">
        <v>80</v>
      </c>
      <c r="J23" s="1"/>
      <c r="K23">
        <v>1095471574</v>
      </c>
      <c r="L23" t="s">
        <v>99</v>
      </c>
      <c r="M23" t="s">
        <v>99</v>
      </c>
      <c r="N23" s="1">
        <v>45692</v>
      </c>
      <c r="O23">
        <v>18</v>
      </c>
      <c r="P23">
        <v>25000</v>
      </c>
      <c r="Q23">
        <v>1</v>
      </c>
      <c r="R23" t="s">
        <v>80</v>
      </c>
      <c r="S23" t="s">
        <v>82</v>
      </c>
    </row>
    <row r="24" spans="1:19" hidden="1" x14ac:dyDescent="0.3">
      <c r="A24" t="s">
        <v>102</v>
      </c>
      <c r="B24">
        <v>6320</v>
      </c>
      <c r="C24">
        <v>27401102701701</v>
      </c>
      <c r="D24" t="s">
        <v>91</v>
      </c>
      <c r="E24" t="s">
        <v>74</v>
      </c>
      <c r="F24" t="s">
        <v>103</v>
      </c>
      <c r="G24" t="s">
        <v>103</v>
      </c>
      <c r="H24" t="s">
        <v>22</v>
      </c>
      <c r="I24" t="s">
        <v>80</v>
      </c>
      <c r="J24" s="1"/>
      <c r="K24">
        <v>1065946147</v>
      </c>
      <c r="L24" t="s">
        <v>104</v>
      </c>
      <c r="M24" t="s">
        <v>104</v>
      </c>
      <c r="N24" s="1">
        <v>45692</v>
      </c>
      <c r="O24">
        <v>18</v>
      </c>
      <c r="P24">
        <v>25000</v>
      </c>
      <c r="Q24">
        <v>1</v>
      </c>
      <c r="R24" t="s">
        <v>80</v>
      </c>
      <c r="S24" t="s">
        <v>82</v>
      </c>
    </row>
    <row r="25" spans="1:19" hidden="1" x14ac:dyDescent="0.3">
      <c r="A25" t="s">
        <v>105</v>
      </c>
      <c r="B25">
        <v>6322</v>
      </c>
      <c r="C25">
        <v>30309182701373</v>
      </c>
      <c r="D25" t="s">
        <v>19</v>
      </c>
      <c r="E25" t="s">
        <v>28</v>
      </c>
      <c r="F25" t="s">
        <v>106</v>
      </c>
      <c r="G25" t="s">
        <v>107</v>
      </c>
      <c r="H25" t="s">
        <v>40</v>
      </c>
      <c r="I25" t="s">
        <v>80</v>
      </c>
      <c r="J25" s="1"/>
      <c r="K25">
        <v>1028153301</v>
      </c>
      <c r="L25" t="s">
        <v>108</v>
      </c>
      <c r="M25" t="s">
        <v>108</v>
      </c>
      <c r="N25" s="1">
        <v>45692</v>
      </c>
      <c r="O25">
        <v>18</v>
      </c>
      <c r="P25">
        <v>30000</v>
      </c>
      <c r="Q25">
        <v>1</v>
      </c>
      <c r="R25" t="s">
        <v>80</v>
      </c>
      <c r="S25" t="s">
        <v>82</v>
      </c>
    </row>
    <row r="26" spans="1:19" hidden="1" x14ac:dyDescent="0.3">
      <c r="A26" t="s">
        <v>109</v>
      </c>
      <c r="B26">
        <v>6324</v>
      </c>
      <c r="C26">
        <v>28907042700615</v>
      </c>
      <c r="D26" t="s">
        <v>62</v>
      </c>
      <c r="E26" t="s">
        <v>37</v>
      </c>
      <c r="F26" t="s">
        <v>110</v>
      </c>
      <c r="G26" t="s">
        <v>79</v>
      </c>
      <c r="H26" t="s">
        <v>65</v>
      </c>
      <c r="I26" t="s">
        <v>80</v>
      </c>
      <c r="J26" s="1"/>
      <c r="K26">
        <v>1122079747</v>
      </c>
      <c r="L26" t="s">
        <v>111</v>
      </c>
      <c r="M26" t="s">
        <v>111</v>
      </c>
      <c r="N26" s="1">
        <v>45692</v>
      </c>
      <c r="O26">
        <v>18</v>
      </c>
      <c r="P26">
        <v>25000</v>
      </c>
      <c r="Q26">
        <v>1</v>
      </c>
      <c r="R26" t="s">
        <v>80</v>
      </c>
      <c r="S26" t="s">
        <v>82</v>
      </c>
    </row>
    <row r="27" spans="1:19" hidden="1" x14ac:dyDescent="0.3">
      <c r="A27" t="s">
        <v>112</v>
      </c>
      <c r="B27">
        <v>5010</v>
      </c>
      <c r="C27">
        <v>29803222700978</v>
      </c>
      <c r="D27" t="s">
        <v>43</v>
      </c>
      <c r="E27" t="s">
        <v>44</v>
      </c>
      <c r="F27" t="s">
        <v>113</v>
      </c>
      <c r="G27" t="s">
        <v>39</v>
      </c>
      <c r="H27" t="s">
        <v>40</v>
      </c>
      <c r="I27" t="s">
        <v>114</v>
      </c>
      <c r="J27" s="1"/>
      <c r="K27">
        <v>1206532475</v>
      </c>
      <c r="L27" t="s">
        <v>115</v>
      </c>
      <c r="M27" t="s">
        <v>115</v>
      </c>
      <c r="N27" s="1">
        <v>45692</v>
      </c>
      <c r="O27">
        <v>12</v>
      </c>
      <c r="P27">
        <v>34000</v>
      </c>
      <c r="Q27">
        <v>3</v>
      </c>
      <c r="R27" t="s">
        <v>116</v>
      </c>
      <c r="S27" t="s">
        <v>117</v>
      </c>
    </row>
    <row r="28" spans="1:19" s="2" customFormat="1" x14ac:dyDescent="0.3">
      <c r="A28" s="2" t="s">
        <v>123</v>
      </c>
      <c r="B28" s="2">
        <v>1583</v>
      </c>
      <c r="C28" s="5">
        <v>26706212701716</v>
      </c>
      <c r="D28" s="2" t="s">
        <v>36</v>
      </c>
      <c r="E28" s="2" t="s">
        <v>124</v>
      </c>
      <c r="F28" s="2" t="s">
        <v>125</v>
      </c>
      <c r="G28" s="2" t="s">
        <v>46</v>
      </c>
      <c r="H28" s="2" t="s">
        <v>33</v>
      </c>
      <c r="I28" s="2" t="s">
        <v>119</v>
      </c>
      <c r="J28" s="3" t="str">
        <f>CONCATENATE($J$1,K28)</f>
        <v>01003827452</v>
      </c>
      <c r="K28" s="2">
        <v>1003827452</v>
      </c>
      <c r="L28" s="2" t="s">
        <v>126</v>
      </c>
      <c r="M28" s="2" t="s">
        <v>127</v>
      </c>
      <c r="N28" s="3">
        <v>45694</v>
      </c>
      <c r="O28" s="2">
        <v>18</v>
      </c>
      <c r="P28" s="2">
        <v>49000</v>
      </c>
      <c r="Q28" s="2">
        <v>10</v>
      </c>
      <c r="R28" s="2" t="s">
        <v>121</v>
      </c>
      <c r="S28" s="2" t="s">
        <v>128</v>
      </c>
    </row>
    <row r="29" spans="1:19" s="2" customFormat="1" x14ac:dyDescent="0.3">
      <c r="A29" s="2" t="s">
        <v>129</v>
      </c>
      <c r="B29" s="2">
        <v>2924</v>
      </c>
      <c r="C29" s="5">
        <v>29102192701119</v>
      </c>
      <c r="D29" s="2" t="s">
        <v>36</v>
      </c>
      <c r="E29" s="2" t="s">
        <v>124</v>
      </c>
      <c r="F29" s="2" t="s">
        <v>130</v>
      </c>
      <c r="G29" s="2" t="s">
        <v>64</v>
      </c>
      <c r="H29" s="2" t="s">
        <v>65</v>
      </c>
      <c r="I29" s="2" t="s">
        <v>119</v>
      </c>
      <c r="J29" s="3" t="str">
        <f t="shared" ref="J29:J36" si="0">CONCATENATE($J$1,K29)</f>
        <v>01289330841</v>
      </c>
      <c r="K29" s="2">
        <v>1289330841</v>
      </c>
      <c r="L29" s="2" t="s">
        <v>131</v>
      </c>
      <c r="M29" s="2" t="s">
        <v>131</v>
      </c>
      <c r="N29" s="3">
        <v>45694</v>
      </c>
      <c r="O29" s="2">
        <v>18</v>
      </c>
      <c r="P29" s="2">
        <v>49000</v>
      </c>
      <c r="Q29" s="2">
        <v>7</v>
      </c>
      <c r="R29" s="2" t="s">
        <v>121</v>
      </c>
      <c r="S29" s="2" t="s">
        <v>128</v>
      </c>
    </row>
    <row r="30" spans="1:19" s="2" customFormat="1" x14ac:dyDescent="0.3">
      <c r="A30" s="2" t="s">
        <v>144</v>
      </c>
      <c r="B30" s="2">
        <v>5589</v>
      </c>
      <c r="C30" s="5">
        <v>27912242702396</v>
      </c>
      <c r="D30" s="2" t="s">
        <v>49</v>
      </c>
      <c r="E30" s="2" t="s">
        <v>50</v>
      </c>
      <c r="F30" s="2" t="s">
        <v>78</v>
      </c>
      <c r="G30" s="2" t="s">
        <v>79</v>
      </c>
      <c r="H30" s="2" t="s">
        <v>65</v>
      </c>
      <c r="I30" s="2" t="s">
        <v>119</v>
      </c>
      <c r="J30" s="3" t="str">
        <f t="shared" si="0"/>
        <v>01005144339</v>
      </c>
      <c r="K30" s="2">
        <v>1005144339</v>
      </c>
      <c r="L30" s="2" t="s">
        <v>145</v>
      </c>
      <c r="M30" s="2" t="s">
        <v>145</v>
      </c>
      <c r="N30" s="3">
        <v>45697</v>
      </c>
      <c r="O30" s="2">
        <v>12</v>
      </c>
      <c r="P30" s="2">
        <v>30000</v>
      </c>
      <c r="Q30" s="2">
        <v>2</v>
      </c>
      <c r="R30" s="2" t="s">
        <v>121</v>
      </c>
      <c r="S30" s="2" t="s">
        <v>128</v>
      </c>
    </row>
    <row r="31" spans="1:19" s="2" customFormat="1" x14ac:dyDescent="0.3">
      <c r="A31" s="2" t="s">
        <v>118</v>
      </c>
      <c r="B31" s="2">
        <v>5784</v>
      </c>
      <c r="C31" s="5">
        <v>27702092701006</v>
      </c>
      <c r="D31" s="2" t="s">
        <v>19</v>
      </c>
      <c r="E31" s="2" t="s">
        <v>44</v>
      </c>
      <c r="F31" s="2" t="s">
        <v>31</v>
      </c>
      <c r="G31" s="2" t="s">
        <v>32</v>
      </c>
      <c r="H31" s="2" t="s">
        <v>33</v>
      </c>
      <c r="I31" s="2" t="s">
        <v>119</v>
      </c>
      <c r="J31" s="3" t="str">
        <f t="shared" si="0"/>
        <v>01005276568</v>
      </c>
      <c r="K31" s="2">
        <v>1005276568</v>
      </c>
      <c r="L31" s="2" t="s">
        <v>120</v>
      </c>
      <c r="M31" s="2" t="s">
        <v>120</v>
      </c>
      <c r="N31" s="3">
        <v>45697</v>
      </c>
      <c r="O31" s="2">
        <v>18</v>
      </c>
      <c r="P31" s="2">
        <v>12000</v>
      </c>
      <c r="Q31" s="2">
        <v>2</v>
      </c>
      <c r="R31" s="2" t="s">
        <v>121</v>
      </c>
      <c r="S31" s="2" t="s">
        <v>122</v>
      </c>
    </row>
    <row r="32" spans="1:19" s="2" customFormat="1" x14ac:dyDescent="0.3">
      <c r="A32" s="2" t="s">
        <v>132</v>
      </c>
      <c r="B32" s="2">
        <v>6328</v>
      </c>
      <c r="C32" s="5">
        <v>29106062700914</v>
      </c>
      <c r="D32" s="2" t="s">
        <v>43</v>
      </c>
      <c r="E32" s="2" t="s">
        <v>92</v>
      </c>
      <c r="F32" s="2" t="s">
        <v>21</v>
      </c>
      <c r="G32" s="2" t="s">
        <v>21</v>
      </c>
      <c r="H32" s="2" t="s">
        <v>22</v>
      </c>
      <c r="I32" s="2" t="s">
        <v>119</v>
      </c>
      <c r="J32" s="3" t="str">
        <f t="shared" si="0"/>
        <v>01121575979</v>
      </c>
      <c r="K32" s="2">
        <v>1121575979</v>
      </c>
      <c r="L32" s="2" t="s">
        <v>133</v>
      </c>
      <c r="M32" s="2" t="s">
        <v>133</v>
      </c>
      <c r="N32" s="3">
        <v>45694</v>
      </c>
      <c r="O32" s="2">
        <v>18</v>
      </c>
      <c r="P32" s="2">
        <v>25000</v>
      </c>
      <c r="Q32" s="2">
        <v>1</v>
      </c>
      <c r="R32" s="2" t="s">
        <v>121</v>
      </c>
      <c r="S32" s="2" t="s">
        <v>128</v>
      </c>
    </row>
    <row r="33" spans="1:19" s="2" customFormat="1" x14ac:dyDescent="0.3">
      <c r="A33" s="2" t="s">
        <v>134</v>
      </c>
      <c r="B33" s="2">
        <v>6329</v>
      </c>
      <c r="C33" s="5">
        <v>29406132701739</v>
      </c>
      <c r="D33" s="2" t="s">
        <v>36</v>
      </c>
      <c r="E33" s="2" t="s">
        <v>124</v>
      </c>
      <c r="F33" s="2" t="s">
        <v>21</v>
      </c>
      <c r="G33" s="2" t="s">
        <v>21</v>
      </c>
      <c r="H33" s="2" t="s">
        <v>22</v>
      </c>
      <c r="I33" s="2" t="s">
        <v>119</v>
      </c>
      <c r="J33" s="3" t="str">
        <f t="shared" si="0"/>
        <v>01027652467</v>
      </c>
      <c r="K33" s="2">
        <v>1027652467</v>
      </c>
      <c r="L33" s="2" t="s">
        <v>135</v>
      </c>
      <c r="M33" s="2" t="s">
        <v>135</v>
      </c>
      <c r="N33" s="3">
        <v>45694</v>
      </c>
      <c r="O33" s="2">
        <v>18</v>
      </c>
      <c r="P33" s="2">
        <v>30000</v>
      </c>
      <c r="Q33" s="2">
        <v>1</v>
      </c>
      <c r="R33" s="2" t="s">
        <v>121</v>
      </c>
      <c r="S33" s="2" t="s">
        <v>128</v>
      </c>
    </row>
    <row r="34" spans="1:19" s="2" customFormat="1" x14ac:dyDescent="0.3">
      <c r="A34" s="2" t="s">
        <v>136</v>
      </c>
      <c r="B34" s="2">
        <v>6330</v>
      </c>
      <c r="C34" s="5">
        <v>28506252701415</v>
      </c>
      <c r="D34" s="2" t="s">
        <v>36</v>
      </c>
      <c r="E34" s="2" t="s">
        <v>70</v>
      </c>
      <c r="F34" s="2" t="s">
        <v>137</v>
      </c>
      <c r="G34" s="2" t="s">
        <v>138</v>
      </c>
      <c r="H34" s="2" t="s">
        <v>65</v>
      </c>
      <c r="I34" s="2" t="s">
        <v>119</v>
      </c>
      <c r="J34" s="3" t="str">
        <f t="shared" si="0"/>
        <v>01010669188</v>
      </c>
      <c r="K34" s="2">
        <v>1010669188</v>
      </c>
      <c r="L34" s="2" t="s">
        <v>139</v>
      </c>
      <c r="M34" s="2" t="s">
        <v>139</v>
      </c>
      <c r="N34" s="3">
        <v>45694</v>
      </c>
      <c r="O34" s="2">
        <v>12</v>
      </c>
      <c r="P34" s="2">
        <v>34000</v>
      </c>
      <c r="Q34" s="2">
        <v>1</v>
      </c>
      <c r="R34" s="2" t="s">
        <v>121</v>
      </c>
      <c r="S34" s="2" t="s">
        <v>128</v>
      </c>
    </row>
    <row r="35" spans="1:19" s="2" customFormat="1" x14ac:dyDescent="0.3">
      <c r="A35" s="2" t="s">
        <v>140</v>
      </c>
      <c r="B35" s="2">
        <v>6331</v>
      </c>
      <c r="C35" s="5">
        <v>29303282702772</v>
      </c>
      <c r="D35" s="2" t="s">
        <v>36</v>
      </c>
      <c r="E35" s="2" t="s">
        <v>70</v>
      </c>
      <c r="F35" s="2" t="s">
        <v>45</v>
      </c>
      <c r="G35" s="2" t="s">
        <v>46</v>
      </c>
      <c r="H35" s="2" t="s">
        <v>33</v>
      </c>
      <c r="I35" s="2" t="s">
        <v>119</v>
      </c>
      <c r="J35" s="3" t="str">
        <f t="shared" si="0"/>
        <v>01032658574</v>
      </c>
      <c r="K35" s="2">
        <v>1032658574</v>
      </c>
      <c r="L35" s="2" t="s">
        <v>141</v>
      </c>
      <c r="M35" s="2" t="s">
        <v>141</v>
      </c>
      <c r="N35" s="3">
        <v>45694</v>
      </c>
      <c r="O35" s="2">
        <v>12</v>
      </c>
      <c r="P35" s="2">
        <v>32000</v>
      </c>
      <c r="Q35" s="2">
        <v>1</v>
      </c>
      <c r="R35" s="2" t="s">
        <v>121</v>
      </c>
      <c r="S35" s="2" t="s">
        <v>128</v>
      </c>
    </row>
    <row r="36" spans="1:19" s="2" customFormat="1" x14ac:dyDescent="0.3">
      <c r="A36" s="2" t="s">
        <v>142</v>
      </c>
      <c r="B36" s="2">
        <v>6332</v>
      </c>
      <c r="C36" s="5">
        <v>27912082701517</v>
      </c>
      <c r="D36" s="2" t="s">
        <v>36</v>
      </c>
      <c r="E36" s="2" t="s">
        <v>70</v>
      </c>
      <c r="F36" s="2" t="s">
        <v>101</v>
      </c>
      <c r="G36" s="2" t="s">
        <v>46</v>
      </c>
      <c r="H36" s="2" t="s">
        <v>33</v>
      </c>
      <c r="I36" s="2" t="s">
        <v>119</v>
      </c>
      <c r="J36" s="3" t="str">
        <f t="shared" si="0"/>
        <v>01090429513</v>
      </c>
      <c r="K36" s="2">
        <v>1090429513</v>
      </c>
      <c r="L36" s="2" t="s">
        <v>143</v>
      </c>
      <c r="M36" s="2" t="s">
        <v>143</v>
      </c>
      <c r="N36" s="3">
        <v>45694</v>
      </c>
      <c r="O36" s="2">
        <v>12</v>
      </c>
      <c r="P36" s="2">
        <v>34000</v>
      </c>
      <c r="Q36" s="2">
        <v>1</v>
      </c>
      <c r="R36" s="2" t="s">
        <v>121</v>
      </c>
      <c r="S36" s="2" t="s">
        <v>128</v>
      </c>
    </row>
  </sheetData>
  <autoFilter ref="A1:S36">
    <filterColumn colId="13">
      <filters>
        <dateGroupItem year="2025" month="2" day="6" dateTimeGrouping="day"/>
        <dateGroupItem year="2025" month="2" day="9" dateTimeGrouping="day"/>
      </filters>
    </filterColumn>
    <sortState ref="A28:S36">
      <sortCondition ref="B1:B36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2025-02-11T13:16:09Z</dcterms:created>
  <dcterms:modified xsi:type="dcterms:W3CDTF">2025-02-11T13:58:28Z</dcterms:modified>
</cp:coreProperties>
</file>