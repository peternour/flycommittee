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mmittee\Com-2025-02-16\06 Helping-Files\"/>
    </mc:Choice>
  </mc:AlternateContent>
  <bookViews>
    <workbookView xWindow="0" yWindow="0" windowWidth="21600" windowHeight="9816"/>
  </bookViews>
  <sheets>
    <sheet name="Sheet1" sheetId="1" r:id="rId1"/>
  </sheets>
  <definedNames>
    <definedName name="_xlnm._FilterDatabase" localSheetId="0" hidden="1">Sheet1!$A$1:$T$44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2" i="1" l="1"/>
  <c r="J33" i="1"/>
  <c r="J34" i="1"/>
  <c r="J35" i="1"/>
  <c r="J36" i="1"/>
  <c r="J37" i="1"/>
  <c r="J38" i="1"/>
  <c r="J40" i="1"/>
  <c r="J41" i="1"/>
  <c r="J42" i="1"/>
  <c r="J43" i="1"/>
  <c r="J44" i="1"/>
  <c r="J31" i="1" l="1"/>
</calcChain>
</file>

<file path=xl/sharedStrings.xml><?xml version="1.0" encoding="utf-8"?>
<sst xmlns="http://schemas.openxmlformats.org/spreadsheetml/2006/main" count="493" uniqueCount="167">
  <si>
    <t>اسم العميل عربى</t>
  </si>
  <si>
    <t>كود العميل</t>
  </si>
  <si>
    <t>الرقم القومى</t>
  </si>
  <si>
    <t>الاخصائى</t>
  </si>
  <si>
    <t>المنطقة</t>
  </si>
  <si>
    <t>النشاط الثالث</t>
  </si>
  <si>
    <t>النشاط الثانى</t>
  </si>
  <si>
    <t>النشاط الرئيسى</t>
  </si>
  <si>
    <t>برنامج الاقراض</t>
  </si>
  <si>
    <t>تليفون العميل</t>
  </si>
  <si>
    <t>رئيسة المجموعة</t>
  </si>
  <si>
    <t>عنوان العميل</t>
  </si>
  <si>
    <t>عنوان النشاط</t>
  </si>
  <si>
    <t>تاريخ القرض</t>
  </si>
  <si>
    <t>عدد الاقساط</t>
  </si>
  <si>
    <t>مبلغ القرض</t>
  </si>
  <si>
    <t>مسلسل القرض</t>
  </si>
  <si>
    <t>مصدر التمويل</t>
  </si>
  <si>
    <t>نظام القرض</t>
  </si>
  <si>
    <t>صبري محمد عوض حسين</t>
  </si>
  <si>
    <t>ابانوب عاطف سعدى</t>
  </si>
  <si>
    <t>القمانة</t>
  </si>
  <si>
    <t>تربية و تسمين ماشية</t>
  </si>
  <si>
    <t>انتاج حيوانى و زراعي</t>
  </si>
  <si>
    <t>ايدي في ايدك</t>
  </si>
  <si>
    <t>منزل صبري محمد - بجوار جامع الشاذلي - عزبه حماد - القمانه - نجع حمادي- قنا</t>
  </si>
  <si>
    <t>جمعية الصعيد للتربية و التنمية</t>
  </si>
  <si>
    <t>ايدي فى ايدك 29% شريحة ( أ ) 20000</t>
  </si>
  <si>
    <t>رغده مرعي يمني محمد</t>
  </si>
  <si>
    <t>نجع عمران</t>
  </si>
  <si>
    <t>منزل مرعي يمني - بجوار جامع اسماعيل - نجع عمران - ابوعموري - نجع حمادي - قنا</t>
  </si>
  <si>
    <t>باتعه عبدالحي عبدالعاطي محمد</t>
  </si>
  <si>
    <t>ترزى حريمي</t>
  </si>
  <si>
    <t>اعمال التفصيل</t>
  </si>
  <si>
    <t>خدمى</t>
  </si>
  <si>
    <t>منزل محمد حمدان حمدون - شارع العمده - خلف الجمعيه الزراعيه - القمانه - نجع حمادي - قنا</t>
  </si>
  <si>
    <t>بضابا مفيد صليب محارب</t>
  </si>
  <si>
    <t>نصحى مقار نصحى</t>
  </si>
  <si>
    <t>الرحمانيه</t>
  </si>
  <si>
    <t>نجارة باب و شباك</t>
  </si>
  <si>
    <t>اشغال خشبية</t>
  </si>
  <si>
    <t>حرفى وصناعى</t>
  </si>
  <si>
    <t>منزل بضابا مفيد - بجوار مركز العمده عبدالملاك - الرحمانيه - نجع حمادي - قنا</t>
  </si>
  <si>
    <t>كمال ايوب لوقا بشاره</t>
  </si>
  <si>
    <t>كيرلس عاطف ثابت</t>
  </si>
  <si>
    <t>نجع حمادى</t>
  </si>
  <si>
    <t>اعمال نقاشة</t>
  </si>
  <si>
    <t>اعمال الصيانة و التصليح</t>
  </si>
  <si>
    <t>منزل كمال ايوب - شارع السنترال القديم - امام السنترال - نجع حمادي - قنا</t>
  </si>
  <si>
    <t>حمدي محمود محمد محمد</t>
  </si>
  <si>
    <t>مينا مخلف نسيم</t>
  </si>
  <si>
    <t>دشنا</t>
  </si>
  <si>
    <t>منزل حمدي محمود - ش السنجق - الصعايده - دشنا - قنا</t>
  </si>
  <si>
    <t>محمد رفعت محمد عبدالعزيز</t>
  </si>
  <si>
    <t>منزل رفعت محمد - بجوار الجامع - نجع عمران - نجع حمادي - قنا</t>
  </si>
  <si>
    <t>خالد حسين هوي حسين</t>
  </si>
  <si>
    <t>منزل حسين هوي - بجوار جامع علي بدوي - سلاجه - نجع حمادي - قنا</t>
  </si>
  <si>
    <t>احلام علي محمد علي</t>
  </si>
  <si>
    <t>اميل رفعت حبيب بساده</t>
  </si>
  <si>
    <t>منتجات البان</t>
  </si>
  <si>
    <t>بائع متجول</t>
  </si>
  <si>
    <t>تجارى</t>
  </si>
  <si>
    <t>منزل احلام علي - شارع الخلابصه - الرحملنيه - نجع حمادي - قنا</t>
  </si>
  <si>
    <t>صبرنا نور حسن محمدين</t>
  </si>
  <si>
    <t>منزل صبرنا نور - بجوار جامع الشيخ همام - الكلح الغربي - نجع حمادي - قنا</t>
  </si>
  <si>
    <t>صباح محمد خيري احمد محمود</t>
  </si>
  <si>
    <t>اولاد نجم</t>
  </si>
  <si>
    <t>منزل عارف محمد - بجوار مسجد العتيق - نجع ابو عيسي - اولاد نجم - نجع حمادي - قنا</t>
  </si>
  <si>
    <t>ايدى فى ايدك 30% شريحة ( ب ) 50000</t>
  </si>
  <si>
    <t>ولاء بخيت محمد احمد</t>
  </si>
  <si>
    <t>هو</t>
  </si>
  <si>
    <t>منزل محمود عبداللاه - شارع فجر الاسلام - بجوار جامع فجر الاسلام - هو - قنا</t>
  </si>
  <si>
    <t>منزل محمود عبداللاه - شارع فجر الاسلام - بجوار جامع فجر الاسلام - هو - نجع حمادي - قنا</t>
  </si>
  <si>
    <t>محمود عبدالمالك احمد محمود</t>
  </si>
  <si>
    <t>بنك الاسكندرية</t>
  </si>
  <si>
    <t>منزل محمود عبدالمالك - بجوار فيلا عبدالوهاب - نجع الخطيب - اولاد نجم -نجع حمادي -قنا</t>
  </si>
  <si>
    <t>بنك الاسكندرية 30% شريحة ( ب ) 50000</t>
  </si>
  <si>
    <t>السيد محمد عباس محمد</t>
  </si>
  <si>
    <t>منزل محمد عباس - بجوار مدرسه الفصل الواحد - عزبه ادم - الهيشه - نجع حمادي - قنا</t>
  </si>
  <si>
    <t>حسن ابوالوفا شيبه الحمد اسماعيل</t>
  </si>
  <si>
    <t>صيانة سيارة بغرض البيع اوالتأجير</t>
  </si>
  <si>
    <t>منزل حسن ابوالوفا - بجوار مسجد ابوعياط - اولاد نجم الحفناويه - نجع حمادي - قنا</t>
  </si>
  <si>
    <t>صفاء خلف جادالرب حسن</t>
  </si>
  <si>
    <t>ابانوب نصيف تسمع</t>
  </si>
  <si>
    <t>السلاميه</t>
  </si>
  <si>
    <t>تجارة بقالة</t>
  </si>
  <si>
    <t>تجارة مواد غذائية</t>
  </si>
  <si>
    <t>منزل فايز تغيان - بجوار مركز لشباب - عزبه البوصه - نجع حمادي - قنا</t>
  </si>
  <si>
    <t>ايمان احمد يحيي احمد</t>
  </si>
  <si>
    <t>منزل احمد يحيي - شارع 15 مايو - اعلي صيدليه هيثم - نجع حمادي - قنا</t>
  </si>
  <si>
    <t>ناهد مصطفي علي محمد</t>
  </si>
  <si>
    <t>تربية و تسمين اغنام</t>
  </si>
  <si>
    <t>منزل عبدالنعيم الشعراني - الحلفايه بحري - ش البرهمات - بجوار مسجد السلام - نجع حمادي - قنا</t>
  </si>
  <si>
    <t>احمد محمد عبدالستار فاوي</t>
  </si>
  <si>
    <t>مخبز بلدي</t>
  </si>
  <si>
    <t>انتاج مواد غذائية</t>
  </si>
  <si>
    <t>منزل محمد عبدالستار - بجوار الوحده الصحيه - الكلح الغربي - نجع حمادي - قنا</t>
  </si>
  <si>
    <t>رزيقي عبيد فهيم اسحق</t>
  </si>
  <si>
    <t>تجارة طيور حية</t>
  </si>
  <si>
    <t>منزل رزيقي عبيد - ش كنيسه الملاك - الرحمانيه قبلي - نجع حمادي - قنا</t>
  </si>
  <si>
    <t>كيرلس ثروت تامر توفيق</t>
  </si>
  <si>
    <t>تصنيع تماثيل خشبية</t>
  </si>
  <si>
    <t>تمكين السيدات اجتماعياً واقتصادياً</t>
  </si>
  <si>
    <t>منزل صفوت انور - شارع 15 مايو - امام مسجد الفتح - نجع حمادي - قنا</t>
  </si>
  <si>
    <t>الهيئة الاسبانية للترويج الاجتماعي</t>
  </si>
  <si>
    <t>تمكين السيدات اجتماعيا 20%</t>
  </si>
  <si>
    <t>انتصار حمدي تهامي علي</t>
  </si>
  <si>
    <t>البنك الاهلى المصري</t>
  </si>
  <si>
    <t>منزل ابوالسعود عبدالفتاح - بجوار صيدليه جينو البطحه - نجع حمادي قنا</t>
  </si>
  <si>
    <t>تمويل البنك الاهلي المصري</t>
  </si>
  <si>
    <t>البنك الاهلى 29% شريحة ( أ ) 20000</t>
  </si>
  <si>
    <t>هاني فتحي يعقوب خليل</t>
  </si>
  <si>
    <t>بهجوره</t>
  </si>
  <si>
    <t>خراطة و لحام</t>
  </si>
  <si>
    <t>منزل هاني فتحي - ش المشروع - طريق فرشوط نجع حمادي السريع - بهجوره - نجع حمادي - قنا</t>
  </si>
  <si>
    <t>ملك ثومه نظير مغربي - طريق فرشوط نجع حمادي السريع - نجع حمادي -قنا</t>
  </si>
  <si>
    <t>البنك الاهلى30% شريحة ( ب ) 50000</t>
  </si>
  <si>
    <t>مراد هاني فتحي يعقوب</t>
  </si>
  <si>
    <t>قطع غيار</t>
  </si>
  <si>
    <t>منزل هاني فتحي - ش الرحمه - بهجوره - نجع حمادي - قنا</t>
  </si>
  <si>
    <t>العربي زكي محمود محمد</t>
  </si>
  <si>
    <t>منزل زكي محمود - ش النيل - بجوار جامع الرحمن - نجع الغليط - الهيشه - نجع حمادي - قنا</t>
  </si>
  <si>
    <t>حسن خلف ابوالفضل سليمان</t>
  </si>
  <si>
    <t>منزل حسن خلف - بجوار معمل الطوب - اولاد علي - بهجوره - نجع حمادي - قنا</t>
  </si>
  <si>
    <t>سامي ابوالمجد لبيب احمد</t>
  </si>
  <si>
    <t>تجارة ادوات صحية</t>
  </si>
  <si>
    <t>تجارة لوازم بناء وديكور</t>
  </si>
  <si>
    <t>منزل سامي ابوالمجد - بجوار قهوه سيد بهيج - كوم السيد - اولاد نجم - نجع حمادي - قنا</t>
  </si>
  <si>
    <t>احمد ابوالعلا عبدالجواد ابوالعلا</t>
  </si>
  <si>
    <t>منزل احمد ابوالعلا - بجوار الوحده الصحيه - كوم السيد - اولاد نجم - نجع حمادي - قنا</t>
  </si>
  <si>
    <t>عبدالناصر ابوالمجد لبيب احمد</t>
  </si>
  <si>
    <t>اعمال سباكة</t>
  </si>
  <si>
    <t>منزل ابوالمجد لبيب - بجوار قهوه سيد بهيج - اولاد نجم - نجع حمادي - قنا</t>
  </si>
  <si>
    <t>زينب محمد محمد جابر</t>
  </si>
  <si>
    <t>القصر</t>
  </si>
  <si>
    <t>منزل عبدالفتاح محمود - بجوار السوق - القصر - نجع حمادي - قنا</t>
  </si>
  <si>
    <t>بلامون عفت ويصا جريس</t>
  </si>
  <si>
    <t>منزل عفت ويصا - بوابه الخوجات العديسيه - القناويه - نجع حمادي - قنا</t>
  </si>
  <si>
    <t>سناء ايوب عبدالهادي قاسم</t>
  </si>
  <si>
    <t>منزل عبدالستار عبدالحميد - ش الخضري - خلف مكتب البريد - العزازيه - دشنا - قنا</t>
  </si>
  <si>
    <t>عبدالهادي محمد محمد فكار</t>
  </si>
  <si>
    <t>منزل عبدالهادي محمد - ش ال فكار - بجوار مسجد ال السمان - الشعانيه - نجع حمادي - قنا</t>
  </si>
  <si>
    <t>ساره عدلي زكري محارب</t>
  </si>
  <si>
    <t>الدرب</t>
  </si>
  <si>
    <t>منزل عدلي زكري محارب - بجوار النقطه - الدرب - نجع حمادي - قنا</t>
  </si>
  <si>
    <t>عزيزه جاد محمد سنجاب</t>
  </si>
  <si>
    <t>منزل عبدالسلام التهامي - بجوار البوسطه - البطحه - نجع حمادي - قنا</t>
  </si>
  <si>
    <t>شهد احمد حسني مصطفي</t>
  </si>
  <si>
    <t>منزل حسن كامل- نجع ركب - امام الماذون - الدرب - نجع حمادي - قنا</t>
  </si>
  <si>
    <t>ناديه وليم ثابت عبدالمسيح</t>
  </si>
  <si>
    <t>منزل عماد ميلاد ش الدايره - بجوار كنيسه الملاك - الرحمانيه - مركز نجع حمادي - قنا</t>
  </si>
  <si>
    <t>شاديه محمد عبدالظاهر محمود</t>
  </si>
  <si>
    <t>منزل ممدوح محمود - بجوار الموقف - السلاميه - نجع حمادي - قنا</t>
  </si>
  <si>
    <t>عمر جمال عبدالسميع محمد</t>
  </si>
  <si>
    <t>منزل جمال عبدالسميع - بجوار مسجد الزهراء - عزبه الامير - هو - نجع حمادي - قنا</t>
  </si>
  <si>
    <t>شريهان بركات ابراهيم محمود</t>
  </si>
  <si>
    <t>منزل عاصم كمال - بجوار جامع الخطيب - نجع الخطيب - اولاد نجم - نجع حمادي - قنا</t>
  </si>
  <si>
    <t>سيد ابراهيم محمود ابراهيم</t>
  </si>
  <si>
    <t>منزل ابراهيم محمود - بجوار المقابر - نجع ودود الشيخ علي - مركز نجع حمادي - قنا</t>
  </si>
  <si>
    <t>عزه عبدالوهاب عابدين محمد</t>
  </si>
  <si>
    <t>صناعة اكسسورات وخرز</t>
  </si>
  <si>
    <t>اعمال يدوية</t>
  </si>
  <si>
    <t>منزل محمد قاسم احمد - بجوار البوسطه - عزبه نقيب - نجع حمادي - قنا</t>
  </si>
  <si>
    <t>بطرس موسي فكري بشاره</t>
  </si>
  <si>
    <t>اعمال كهرباء منازل</t>
  </si>
  <si>
    <t>منزل بطرس موسي - شارع الطنايسه - الرحمانيه قبلي - نجع حمادي - قنا</t>
  </si>
  <si>
    <t>01091592892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</si>
</sst>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44"/>
  <sheetViews>
    <sheetView rightToLeft="1" tabSelected="1" topLeftCell="N1" workbookViewId="0">
      <selection activeCell="O31" sqref="O31:O44"/>
    </sheetView>
  </sheetViews>
  <sheetFormatPr defaultRowHeight="14.4" x14ac:dyDescent="0.3"/>
  <cols>
    <col min="1" max="1" width="24" bestFit="1" customWidth="1"/>
    <col min="2" max="2" width="8.33203125" bestFit="1" customWidth="1"/>
    <col min="3" max="3" width="15.109375" style="2" bestFit="1" customWidth="1"/>
    <col min="4" max="4" width="16.77734375" bestFit="1" customWidth="1"/>
    <col min="5" max="5" width="8.88671875" bestFit="1" customWidth="1"/>
    <col min="6" max="6" width="22.77734375" bestFit="1" customWidth="1"/>
    <col min="7" max="7" width="16.88671875" bestFit="1" customWidth="1"/>
    <col min="8" max="8" width="13.88671875" bestFit="1" customWidth="1"/>
    <col min="9" max="9" width="19.5546875" customWidth="1"/>
    <col min="10" max="10" width="12" bestFit="1" customWidth="1"/>
    <col min="11" max="11" width="11" bestFit="1" customWidth="1"/>
    <col min="12" max="12" width="11.88671875" bestFit="1" customWidth="1"/>
    <col min="13" max="14" width="65.77734375" bestFit="1" customWidth="1"/>
    <col min="15" max="15" width="10.5546875" bestFit="1" customWidth="1"/>
    <col min="16" max="16" width="9.6640625" bestFit="1" customWidth="1"/>
    <col min="17" max="17" width="8.5546875" bestFit="1" customWidth="1"/>
    <col min="18" max="18" width="10.88671875" bestFit="1" customWidth="1"/>
    <col min="19" max="19" width="23" bestFit="1" customWidth="1"/>
    <col min="20" max="20" width="29.5546875" bestFit="1" customWidth="1"/>
  </cols>
  <sheetData>
    <row r="1" spans="1:20" x14ac:dyDescent="0.3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0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hidden="1" x14ac:dyDescent="0.3">
      <c r="A2" t="s">
        <v>19</v>
      </c>
      <c r="B2">
        <v>3171</v>
      </c>
      <c r="C2" s="2">
        <v>28204032701337</v>
      </c>
      <c r="D2" t="s">
        <v>20</v>
      </c>
      <c r="E2" t="s">
        <v>21</v>
      </c>
      <c r="F2" t="s">
        <v>22</v>
      </c>
      <c r="G2" t="s">
        <v>22</v>
      </c>
      <c r="H2" t="s">
        <v>23</v>
      </c>
      <c r="I2" t="s">
        <v>24</v>
      </c>
      <c r="J2" s="1"/>
      <c r="K2">
        <v>1000819885</v>
      </c>
      <c r="L2" s="1"/>
      <c r="M2" t="s">
        <v>25</v>
      </c>
      <c r="N2" t="s">
        <v>25</v>
      </c>
      <c r="O2" s="1">
        <v>45692</v>
      </c>
      <c r="P2">
        <v>18</v>
      </c>
      <c r="Q2">
        <v>20000</v>
      </c>
      <c r="R2">
        <v>3</v>
      </c>
      <c r="S2" t="s">
        <v>26</v>
      </c>
      <c r="T2" t="s">
        <v>27</v>
      </c>
    </row>
    <row r="3" spans="1:20" hidden="1" x14ac:dyDescent="0.3">
      <c r="A3" t="s">
        <v>28</v>
      </c>
      <c r="B3">
        <v>4142</v>
      </c>
      <c r="C3" s="2">
        <v>29506132702047</v>
      </c>
      <c r="D3" t="s">
        <v>20</v>
      </c>
      <c r="E3" t="s">
        <v>29</v>
      </c>
      <c r="F3" t="s">
        <v>22</v>
      </c>
      <c r="G3" t="s">
        <v>22</v>
      </c>
      <c r="H3" t="s">
        <v>23</v>
      </c>
      <c r="I3" t="s">
        <v>24</v>
      </c>
      <c r="J3" s="1"/>
      <c r="K3">
        <v>1016464589</v>
      </c>
      <c r="L3" s="1"/>
      <c r="M3" t="s">
        <v>30</v>
      </c>
      <c r="N3" t="s">
        <v>30</v>
      </c>
      <c r="O3" s="1">
        <v>45692</v>
      </c>
      <c r="P3">
        <v>18</v>
      </c>
      <c r="Q3">
        <v>7000</v>
      </c>
      <c r="R3">
        <v>4</v>
      </c>
      <c r="S3" t="s">
        <v>26</v>
      </c>
      <c r="T3" t="s">
        <v>27</v>
      </c>
    </row>
    <row r="4" spans="1:20" hidden="1" x14ac:dyDescent="0.3">
      <c r="A4" t="s">
        <v>31</v>
      </c>
      <c r="B4">
        <v>4681</v>
      </c>
      <c r="C4" s="2">
        <v>28009011405064</v>
      </c>
      <c r="D4" t="s">
        <v>20</v>
      </c>
      <c r="E4" t="s">
        <v>21</v>
      </c>
      <c r="F4" t="s">
        <v>32</v>
      </c>
      <c r="G4" t="s">
        <v>33</v>
      </c>
      <c r="H4" t="s">
        <v>34</v>
      </c>
      <c r="I4" t="s">
        <v>24</v>
      </c>
      <c r="J4">
        <v>1027779820</v>
      </c>
      <c r="K4">
        <v>1027779820</v>
      </c>
      <c r="L4" s="1"/>
      <c r="M4" t="s">
        <v>35</v>
      </c>
      <c r="N4" t="s">
        <v>35</v>
      </c>
      <c r="O4" s="1">
        <v>45692</v>
      </c>
      <c r="P4">
        <v>12</v>
      </c>
      <c r="Q4">
        <v>10000</v>
      </c>
      <c r="R4">
        <v>3</v>
      </c>
      <c r="S4" t="s">
        <v>26</v>
      </c>
      <c r="T4" t="s">
        <v>27</v>
      </c>
    </row>
    <row r="5" spans="1:20" hidden="1" x14ac:dyDescent="0.3">
      <c r="A5" t="s">
        <v>36</v>
      </c>
      <c r="B5">
        <v>4790</v>
      </c>
      <c r="C5" s="2">
        <v>26308302701612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24</v>
      </c>
      <c r="J5" s="1"/>
      <c r="K5">
        <v>1225520804</v>
      </c>
      <c r="L5" s="1"/>
      <c r="M5" t="s">
        <v>42</v>
      </c>
      <c r="N5" t="s">
        <v>42</v>
      </c>
      <c r="O5" s="1">
        <v>45692</v>
      </c>
      <c r="P5">
        <v>18</v>
      </c>
      <c r="Q5">
        <v>20000</v>
      </c>
      <c r="R5">
        <v>3</v>
      </c>
      <c r="S5" t="s">
        <v>26</v>
      </c>
      <c r="T5" t="s">
        <v>27</v>
      </c>
    </row>
    <row r="6" spans="1:20" hidden="1" x14ac:dyDescent="0.3">
      <c r="A6" t="s">
        <v>43</v>
      </c>
      <c r="B6">
        <v>5397</v>
      </c>
      <c r="C6" s="2">
        <v>26602102700714</v>
      </c>
      <c r="D6" t="s">
        <v>44</v>
      </c>
      <c r="E6" t="s">
        <v>45</v>
      </c>
      <c r="F6" t="s">
        <v>46</v>
      </c>
      <c r="G6" t="s">
        <v>47</v>
      </c>
      <c r="H6" t="s">
        <v>34</v>
      </c>
      <c r="I6" t="s">
        <v>24</v>
      </c>
      <c r="J6" s="1"/>
      <c r="K6">
        <v>1221922234</v>
      </c>
      <c r="L6" s="1"/>
      <c r="M6" t="s">
        <v>48</v>
      </c>
      <c r="N6" t="s">
        <v>48</v>
      </c>
      <c r="O6" s="1">
        <v>45692</v>
      </c>
      <c r="P6">
        <v>18</v>
      </c>
      <c r="Q6">
        <v>20000</v>
      </c>
      <c r="R6">
        <v>2</v>
      </c>
      <c r="S6" t="s">
        <v>26</v>
      </c>
      <c r="T6" t="s">
        <v>27</v>
      </c>
    </row>
    <row r="7" spans="1:20" hidden="1" x14ac:dyDescent="0.3">
      <c r="A7" t="s">
        <v>49</v>
      </c>
      <c r="B7">
        <v>6299</v>
      </c>
      <c r="C7" s="2">
        <v>27112052700994</v>
      </c>
      <c r="D7" t="s">
        <v>50</v>
      </c>
      <c r="E7" t="s">
        <v>51</v>
      </c>
      <c r="F7" t="s">
        <v>22</v>
      </c>
      <c r="G7" t="s">
        <v>22</v>
      </c>
      <c r="H7" t="s">
        <v>23</v>
      </c>
      <c r="I7" t="s">
        <v>24</v>
      </c>
      <c r="J7" s="1"/>
      <c r="K7">
        <v>1092474200</v>
      </c>
      <c r="L7" s="1"/>
      <c r="M7" t="s">
        <v>52</v>
      </c>
      <c r="N7" t="s">
        <v>52</v>
      </c>
      <c r="O7" s="1">
        <v>45692</v>
      </c>
      <c r="P7">
        <v>18</v>
      </c>
      <c r="Q7">
        <v>20000</v>
      </c>
      <c r="R7">
        <v>1</v>
      </c>
      <c r="S7" t="s">
        <v>26</v>
      </c>
      <c r="T7" t="s">
        <v>27</v>
      </c>
    </row>
    <row r="8" spans="1:20" hidden="1" x14ac:dyDescent="0.3">
      <c r="A8" t="s">
        <v>53</v>
      </c>
      <c r="B8">
        <v>6316</v>
      </c>
      <c r="C8" s="2">
        <v>30009252703871</v>
      </c>
      <c r="D8" t="s">
        <v>20</v>
      </c>
      <c r="E8" t="s">
        <v>29</v>
      </c>
      <c r="F8" t="s">
        <v>22</v>
      </c>
      <c r="G8" t="s">
        <v>22</v>
      </c>
      <c r="H8" t="s">
        <v>23</v>
      </c>
      <c r="I8" t="s">
        <v>24</v>
      </c>
      <c r="J8" s="1"/>
      <c r="K8">
        <v>1093014382</v>
      </c>
      <c r="L8" s="1"/>
      <c r="M8" t="s">
        <v>54</v>
      </c>
      <c r="N8" t="s">
        <v>54</v>
      </c>
      <c r="O8" s="1">
        <v>45692</v>
      </c>
      <c r="P8">
        <v>18</v>
      </c>
      <c r="Q8">
        <v>20000</v>
      </c>
      <c r="R8">
        <v>1</v>
      </c>
      <c r="S8" t="s">
        <v>26</v>
      </c>
      <c r="T8" t="s">
        <v>27</v>
      </c>
    </row>
    <row r="9" spans="1:20" hidden="1" x14ac:dyDescent="0.3">
      <c r="A9" t="s">
        <v>55</v>
      </c>
      <c r="B9">
        <v>6323</v>
      </c>
      <c r="C9" s="2">
        <v>29601142703656</v>
      </c>
      <c r="D9" t="s">
        <v>50</v>
      </c>
      <c r="E9" t="s">
        <v>21</v>
      </c>
      <c r="F9" t="s">
        <v>22</v>
      </c>
      <c r="G9" t="s">
        <v>22</v>
      </c>
      <c r="H9" t="s">
        <v>23</v>
      </c>
      <c r="I9" t="s">
        <v>24</v>
      </c>
      <c r="J9" s="1"/>
      <c r="K9">
        <v>1030290133</v>
      </c>
      <c r="L9" s="1"/>
      <c r="M9" t="s">
        <v>56</v>
      </c>
      <c r="N9" t="s">
        <v>56</v>
      </c>
      <c r="O9" s="1">
        <v>45692</v>
      </c>
      <c r="P9">
        <v>18</v>
      </c>
      <c r="Q9">
        <v>15000</v>
      </c>
      <c r="R9">
        <v>1</v>
      </c>
      <c r="S9" t="s">
        <v>26</v>
      </c>
      <c r="T9" t="s">
        <v>27</v>
      </c>
    </row>
    <row r="10" spans="1:20" hidden="1" x14ac:dyDescent="0.3">
      <c r="A10" t="s">
        <v>57</v>
      </c>
      <c r="B10">
        <v>6325</v>
      </c>
      <c r="C10" s="2">
        <v>27803022700828</v>
      </c>
      <c r="D10" t="s">
        <v>58</v>
      </c>
      <c r="E10" t="s">
        <v>38</v>
      </c>
      <c r="F10" t="s">
        <v>59</v>
      </c>
      <c r="G10" t="s">
        <v>60</v>
      </c>
      <c r="H10" t="s">
        <v>61</v>
      </c>
      <c r="I10" t="s">
        <v>24</v>
      </c>
      <c r="J10">
        <v>1126252358</v>
      </c>
      <c r="K10">
        <v>1126252358</v>
      </c>
      <c r="L10" s="1"/>
      <c r="M10" t="s">
        <v>62</v>
      </c>
      <c r="N10" t="s">
        <v>62</v>
      </c>
      <c r="O10" s="1">
        <v>45692</v>
      </c>
      <c r="P10">
        <v>18</v>
      </c>
      <c r="Q10">
        <v>10000</v>
      </c>
      <c r="R10">
        <v>1</v>
      </c>
      <c r="S10" t="s">
        <v>26</v>
      </c>
      <c r="T10" t="s">
        <v>27</v>
      </c>
    </row>
    <row r="11" spans="1:20" hidden="1" x14ac:dyDescent="0.3">
      <c r="A11" t="s">
        <v>63</v>
      </c>
      <c r="B11">
        <v>6326</v>
      </c>
      <c r="C11" s="2">
        <v>27410012700925</v>
      </c>
      <c r="D11" t="s">
        <v>20</v>
      </c>
      <c r="E11" t="s">
        <v>29</v>
      </c>
      <c r="F11" t="s">
        <v>22</v>
      </c>
      <c r="G11" t="s">
        <v>22</v>
      </c>
      <c r="H11" t="s">
        <v>23</v>
      </c>
      <c r="I11" t="s">
        <v>24</v>
      </c>
      <c r="J11" s="1"/>
      <c r="K11">
        <v>1025546617</v>
      </c>
      <c r="L11" s="1"/>
      <c r="M11" t="s">
        <v>64</v>
      </c>
      <c r="N11" t="s">
        <v>64</v>
      </c>
      <c r="O11" s="1">
        <v>45692</v>
      </c>
      <c r="P11">
        <v>18</v>
      </c>
      <c r="Q11">
        <v>11000</v>
      </c>
      <c r="R11">
        <v>1</v>
      </c>
      <c r="S11" t="s">
        <v>26</v>
      </c>
      <c r="T11" t="s">
        <v>27</v>
      </c>
    </row>
    <row r="12" spans="1:20" hidden="1" x14ac:dyDescent="0.3">
      <c r="A12" t="s">
        <v>65</v>
      </c>
      <c r="B12">
        <v>3339</v>
      </c>
      <c r="C12" s="2">
        <v>27707132700425</v>
      </c>
      <c r="D12" t="s">
        <v>37</v>
      </c>
      <c r="E12" t="s">
        <v>66</v>
      </c>
      <c r="F12" t="s">
        <v>22</v>
      </c>
      <c r="G12" t="s">
        <v>22</v>
      </c>
      <c r="H12" t="s">
        <v>23</v>
      </c>
      <c r="I12" t="s">
        <v>24</v>
      </c>
      <c r="J12" s="1"/>
      <c r="K12">
        <v>1093130595</v>
      </c>
      <c r="L12" s="1"/>
      <c r="M12" t="s">
        <v>67</v>
      </c>
      <c r="N12" t="s">
        <v>67</v>
      </c>
      <c r="O12" s="1">
        <v>45692</v>
      </c>
      <c r="P12">
        <v>18</v>
      </c>
      <c r="Q12">
        <v>49000</v>
      </c>
      <c r="R12">
        <v>6</v>
      </c>
      <c r="S12" t="s">
        <v>26</v>
      </c>
      <c r="T12" t="s">
        <v>68</v>
      </c>
    </row>
    <row r="13" spans="1:20" hidden="1" x14ac:dyDescent="0.3">
      <c r="A13" t="s">
        <v>69</v>
      </c>
      <c r="B13">
        <v>5361</v>
      </c>
      <c r="C13" s="2">
        <v>29603202702665</v>
      </c>
      <c r="D13" t="s">
        <v>44</v>
      </c>
      <c r="E13" t="s">
        <v>70</v>
      </c>
      <c r="F13" t="s">
        <v>32</v>
      </c>
      <c r="G13" t="s">
        <v>33</v>
      </c>
      <c r="H13" t="s">
        <v>34</v>
      </c>
      <c r="I13" t="s">
        <v>24</v>
      </c>
      <c r="J13" s="1"/>
      <c r="K13">
        <v>1021824302</v>
      </c>
      <c r="L13" s="1"/>
      <c r="M13" t="s">
        <v>71</v>
      </c>
      <c r="N13" t="s">
        <v>72</v>
      </c>
      <c r="O13" s="1">
        <v>45692</v>
      </c>
      <c r="P13">
        <v>18</v>
      </c>
      <c r="Q13">
        <v>30000</v>
      </c>
      <c r="R13">
        <v>2</v>
      </c>
      <c r="S13" t="s">
        <v>26</v>
      </c>
      <c r="T13" t="s">
        <v>68</v>
      </c>
    </row>
    <row r="14" spans="1:20" hidden="1" x14ac:dyDescent="0.3">
      <c r="A14" t="s">
        <v>73</v>
      </c>
      <c r="B14">
        <v>3178</v>
      </c>
      <c r="C14" s="2">
        <v>28303122702039</v>
      </c>
      <c r="D14" t="s">
        <v>37</v>
      </c>
      <c r="E14" t="s">
        <v>66</v>
      </c>
      <c r="F14" t="s">
        <v>22</v>
      </c>
      <c r="G14" t="s">
        <v>22</v>
      </c>
      <c r="H14" t="s">
        <v>23</v>
      </c>
      <c r="I14" t="s">
        <v>74</v>
      </c>
      <c r="J14" s="1"/>
      <c r="K14">
        <v>1067992496</v>
      </c>
      <c r="L14" s="1"/>
      <c r="M14" t="s">
        <v>75</v>
      </c>
      <c r="N14" t="s">
        <v>75</v>
      </c>
      <c r="O14" s="1">
        <v>45692</v>
      </c>
      <c r="P14">
        <v>18</v>
      </c>
      <c r="Q14">
        <v>30000</v>
      </c>
      <c r="R14">
        <v>4</v>
      </c>
      <c r="S14" t="s">
        <v>74</v>
      </c>
      <c r="T14" t="s">
        <v>76</v>
      </c>
    </row>
    <row r="15" spans="1:20" hidden="1" x14ac:dyDescent="0.3">
      <c r="A15" t="s">
        <v>77</v>
      </c>
      <c r="B15">
        <v>5285</v>
      </c>
      <c r="C15" s="2">
        <v>28312262700914</v>
      </c>
      <c r="D15" t="s">
        <v>44</v>
      </c>
      <c r="E15" t="s">
        <v>45</v>
      </c>
      <c r="F15" t="s">
        <v>22</v>
      </c>
      <c r="G15" t="s">
        <v>22</v>
      </c>
      <c r="H15" t="s">
        <v>23</v>
      </c>
      <c r="I15" t="s">
        <v>74</v>
      </c>
      <c r="J15" s="1"/>
      <c r="K15">
        <v>1157027498</v>
      </c>
      <c r="L15" s="1"/>
      <c r="M15" t="s">
        <v>78</v>
      </c>
      <c r="N15" t="s">
        <v>78</v>
      </c>
      <c r="O15" s="1">
        <v>45692</v>
      </c>
      <c r="P15">
        <v>18</v>
      </c>
      <c r="Q15">
        <v>34000</v>
      </c>
      <c r="R15">
        <v>2</v>
      </c>
      <c r="S15" t="s">
        <v>74</v>
      </c>
      <c r="T15" t="s">
        <v>76</v>
      </c>
    </row>
    <row r="16" spans="1:20" hidden="1" x14ac:dyDescent="0.3">
      <c r="A16" t="s">
        <v>79</v>
      </c>
      <c r="B16">
        <v>5472</v>
      </c>
      <c r="C16" s="2">
        <v>28301302701615</v>
      </c>
      <c r="D16" t="s">
        <v>37</v>
      </c>
      <c r="E16" t="s">
        <v>66</v>
      </c>
      <c r="F16" t="s">
        <v>80</v>
      </c>
      <c r="G16" t="s">
        <v>47</v>
      </c>
      <c r="H16" t="s">
        <v>34</v>
      </c>
      <c r="I16" t="s">
        <v>74</v>
      </c>
      <c r="J16">
        <v>1008763445</v>
      </c>
      <c r="K16">
        <v>1008763445</v>
      </c>
      <c r="L16" s="1"/>
      <c r="M16" t="s">
        <v>81</v>
      </c>
      <c r="N16" t="s">
        <v>81</v>
      </c>
      <c r="O16" s="1">
        <v>45692</v>
      </c>
      <c r="P16">
        <v>18</v>
      </c>
      <c r="Q16">
        <v>34000</v>
      </c>
      <c r="R16">
        <v>2</v>
      </c>
      <c r="S16" t="s">
        <v>74</v>
      </c>
      <c r="T16" t="s">
        <v>76</v>
      </c>
    </row>
    <row r="17" spans="1:20" hidden="1" x14ac:dyDescent="0.3">
      <c r="A17" t="s">
        <v>82</v>
      </c>
      <c r="B17">
        <v>6309</v>
      </c>
      <c r="C17" s="2">
        <v>29003132702487</v>
      </c>
      <c r="D17" t="s">
        <v>83</v>
      </c>
      <c r="E17" t="s">
        <v>84</v>
      </c>
      <c r="F17" t="s">
        <v>85</v>
      </c>
      <c r="G17" t="s">
        <v>86</v>
      </c>
      <c r="H17" t="s">
        <v>61</v>
      </c>
      <c r="I17" t="s">
        <v>74</v>
      </c>
      <c r="J17" s="1"/>
      <c r="K17">
        <v>1501140810</v>
      </c>
      <c r="L17" s="1"/>
      <c r="M17" t="s">
        <v>87</v>
      </c>
      <c r="N17" t="s">
        <v>87</v>
      </c>
      <c r="O17" s="1">
        <v>45692</v>
      </c>
      <c r="P17">
        <v>18</v>
      </c>
      <c r="Q17">
        <v>25000</v>
      </c>
      <c r="R17">
        <v>1</v>
      </c>
      <c r="S17" t="s">
        <v>74</v>
      </c>
      <c r="T17" t="s">
        <v>76</v>
      </c>
    </row>
    <row r="18" spans="1:20" hidden="1" x14ac:dyDescent="0.3">
      <c r="A18" t="s">
        <v>88</v>
      </c>
      <c r="B18">
        <v>6317</v>
      </c>
      <c r="C18" s="2">
        <v>28409292704802</v>
      </c>
      <c r="D18" t="s">
        <v>20</v>
      </c>
      <c r="E18" t="s">
        <v>45</v>
      </c>
      <c r="F18" t="s">
        <v>32</v>
      </c>
      <c r="G18" t="s">
        <v>33</v>
      </c>
      <c r="H18" t="s">
        <v>34</v>
      </c>
      <c r="I18" t="s">
        <v>74</v>
      </c>
      <c r="J18" s="1"/>
      <c r="K18">
        <v>1033336307</v>
      </c>
      <c r="L18" s="1"/>
      <c r="M18" t="s">
        <v>89</v>
      </c>
      <c r="N18" t="s">
        <v>89</v>
      </c>
      <c r="O18" s="1">
        <v>45692</v>
      </c>
      <c r="P18">
        <v>18</v>
      </c>
      <c r="Q18">
        <v>25000</v>
      </c>
      <c r="R18">
        <v>1</v>
      </c>
      <c r="S18" t="s">
        <v>74</v>
      </c>
      <c r="T18" t="s">
        <v>76</v>
      </c>
    </row>
    <row r="19" spans="1:20" hidden="1" x14ac:dyDescent="0.3">
      <c r="A19" t="s">
        <v>90</v>
      </c>
      <c r="B19">
        <v>6320</v>
      </c>
      <c r="C19" s="2">
        <v>27401102701701</v>
      </c>
      <c r="D19" t="s">
        <v>83</v>
      </c>
      <c r="E19" t="s">
        <v>70</v>
      </c>
      <c r="F19" t="s">
        <v>91</v>
      </c>
      <c r="G19" t="s">
        <v>91</v>
      </c>
      <c r="H19" t="s">
        <v>23</v>
      </c>
      <c r="I19" t="s">
        <v>74</v>
      </c>
      <c r="J19" s="1"/>
      <c r="K19">
        <v>1065946147</v>
      </c>
      <c r="L19" s="1"/>
      <c r="M19" t="s">
        <v>92</v>
      </c>
      <c r="N19" t="s">
        <v>92</v>
      </c>
      <c r="O19" s="1">
        <v>45692</v>
      </c>
      <c r="P19">
        <v>18</v>
      </c>
      <c r="Q19">
        <v>25000</v>
      </c>
      <c r="R19">
        <v>1</v>
      </c>
      <c r="S19" t="s">
        <v>74</v>
      </c>
      <c r="T19" t="s">
        <v>76</v>
      </c>
    </row>
    <row r="20" spans="1:20" hidden="1" x14ac:dyDescent="0.3">
      <c r="A20" t="s">
        <v>93</v>
      </c>
      <c r="B20">
        <v>6322</v>
      </c>
      <c r="C20" s="2">
        <v>30309182701373</v>
      </c>
      <c r="D20" t="s">
        <v>20</v>
      </c>
      <c r="E20" t="s">
        <v>29</v>
      </c>
      <c r="F20" t="s">
        <v>94</v>
      </c>
      <c r="G20" t="s">
        <v>95</v>
      </c>
      <c r="H20" t="s">
        <v>41</v>
      </c>
      <c r="I20" t="s">
        <v>74</v>
      </c>
      <c r="J20" s="1"/>
      <c r="K20">
        <v>1028153301</v>
      </c>
      <c r="L20" s="1"/>
      <c r="M20" t="s">
        <v>96</v>
      </c>
      <c r="N20" t="s">
        <v>96</v>
      </c>
      <c r="O20" s="1">
        <v>45692</v>
      </c>
      <c r="P20">
        <v>18</v>
      </c>
      <c r="Q20">
        <v>30000</v>
      </c>
      <c r="R20">
        <v>1</v>
      </c>
      <c r="S20" t="s">
        <v>74</v>
      </c>
      <c r="T20" t="s">
        <v>76</v>
      </c>
    </row>
    <row r="21" spans="1:20" hidden="1" x14ac:dyDescent="0.3">
      <c r="A21" t="s">
        <v>97</v>
      </c>
      <c r="B21">
        <v>6324</v>
      </c>
      <c r="C21" s="2">
        <v>28907042700615</v>
      </c>
      <c r="D21" t="s">
        <v>58</v>
      </c>
      <c r="E21" t="s">
        <v>38</v>
      </c>
      <c r="F21" t="s">
        <v>98</v>
      </c>
      <c r="G21" t="s">
        <v>86</v>
      </c>
      <c r="H21" t="s">
        <v>61</v>
      </c>
      <c r="I21" t="s">
        <v>74</v>
      </c>
      <c r="J21" s="1"/>
      <c r="K21">
        <v>1122079747</v>
      </c>
      <c r="L21" s="1"/>
      <c r="M21" t="s">
        <v>99</v>
      </c>
      <c r="N21" t="s">
        <v>99</v>
      </c>
      <c r="O21" s="1">
        <v>45692</v>
      </c>
      <c r="P21">
        <v>18</v>
      </c>
      <c r="Q21">
        <v>25000</v>
      </c>
      <c r="R21">
        <v>1</v>
      </c>
      <c r="S21" t="s">
        <v>74</v>
      </c>
      <c r="T21" t="s">
        <v>76</v>
      </c>
    </row>
    <row r="22" spans="1:20" hidden="1" x14ac:dyDescent="0.3">
      <c r="A22" t="s">
        <v>100</v>
      </c>
      <c r="B22">
        <v>5010</v>
      </c>
      <c r="C22" s="2">
        <v>29803222700978</v>
      </c>
      <c r="D22" t="s">
        <v>44</v>
      </c>
      <c r="E22" t="s">
        <v>45</v>
      </c>
      <c r="F22" t="s">
        <v>101</v>
      </c>
      <c r="G22" t="s">
        <v>40</v>
      </c>
      <c r="H22" t="s">
        <v>41</v>
      </c>
      <c r="I22" t="s">
        <v>102</v>
      </c>
      <c r="J22" s="1"/>
      <c r="K22">
        <v>1206532475</v>
      </c>
      <c r="L22" s="1"/>
      <c r="M22" t="s">
        <v>103</v>
      </c>
      <c r="N22" t="s">
        <v>103</v>
      </c>
      <c r="O22" s="1">
        <v>45692</v>
      </c>
      <c r="P22">
        <v>12</v>
      </c>
      <c r="Q22">
        <v>34000</v>
      </c>
      <c r="R22">
        <v>3</v>
      </c>
      <c r="S22" t="s">
        <v>104</v>
      </c>
      <c r="T22" t="s">
        <v>105</v>
      </c>
    </row>
    <row r="23" spans="1:20" hidden="1" x14ac:dyDescent="0.3">
      <c r="A23" t="s">
        <v>106</v>
      </c>
      <c r="B23">
        <v>5784</v>
      </c>
      <c r="C23" s="2">
        <v>27702092701006</v>
      </c>
      <c r="D23" t="s">
        <v>20</v>
      </c>
      <c r="E23" t="s">
        <v>45</v>
      </c>
      <c r="F23" t="s">
        <v>32</v>
      </c>
      <c r="G23" t="s">
        <v>33</v>
      </c>
      <c r="H23" t="s">
        <v>34</v>
      </c>
      <c r="I23" t="s">
        <v>107</v>
      </c>
      <c r="J23" s="1"/>
      <c r="K23">
        <v>1005276568</v>
      </c>
      <c r="L23" s="1"/>
      <c r="M23" t="s">
        <v>108</v>
      </c>
      <c r="N23" t="s">
        <v>108</v>
      </c>
      <c r="O23" s="1">
        <v>45697</v>
      </c>
      <c r="P23">
        <v>18</v>
      </c>
      <c r="Q23">
        <v>12000</v>
      </c>
      <c r="R23">
        <v>2</v>
      </c>
      <c r="S23" t="s">
        <v>109</v>
      </c>
      <c r="T23" t="s">
        <v>110</v>
      </c>
    </row>
    <row r="24" spans="1:20" hidden="1" x14ac:dyDescent="0.3">
      <c r="A24" t="s">
        <v>111</v>
      </c>
      <c r="B24">
        <v>1583</v>
      </c>
      <c r="C24" s="2">
        <v>26706212701716</v>
      </c>
      <c r="D24" t="s">
        <v>37</v>
      </c>
      <c r="E24" t="s">
        <v>112</v>
      </c>
      <c r="F24" t="s">
        <v>113</v>
      </c>
      <c r="G24" t="s">
        <v>47</v>
      </c>
      <c r="H24" t="s">
        <v>34</v>
      </c>
      <c r="I24" t="s">
        <v>107</v>
      </c>
      <c r="J24" s="1"/>
      <c r="K24">
        <v>1003827452</v>
      </c>
      <c r="L24" s="1"/>
      <c r="M24" t="s">
        <v>114</v>
      </c>
      <c r="N24" t="s">
        <v>115</v>
      </c>
      <c r="O24" s="1">
        <v>45694</v>
      </c>
      <c r="P24">
        <v>18</v>
      </c>
      <c r="Q24">
        <v>49000</v>
      </c>
      <c r="R24">
        <v>10</v>
      </c>
      <c r="S24" t="s">
        <v>109</v>
      </c>
      <c r="T24" t="s">
        <v>116</v>
      </c>
    </row>
    <row r="25" spans="1:20" hidden="1" x14ac:dyDescent="0.3">
      <c r="A25" t="s">
        <v>117</v>
      </c>
      <c r="B25">
        <v>2924</v>
      </c>
      <c r="C25" s="2">
        <v>29102192701119</v>
      </c>
      <c r="D25" t="s">
        <v>37</v>
      </c>
      <c r="E25" t="s">
        <v>112</v>
      </c>
      <c r="F25" t="s">
        <v>118</v>
      </c>
      <c r="G25" t="s">
        <v>60</v>
      </c>
      <c r="H25" t="s">
        <v>61</v>
      </c>
      <c r="I25" t="s">
        <v>107</v>
      </c>
      <c r="J25">
        <v>1289330841</v>
      </c>
      <c r="K25">
        <v>1289330841</v>
      </c>
      <c r="L25" s="1"/>
      <c r="M25" t="s">
        <v>119</v>
      </c>
      <c r="N25" t="s">
        <v>119</v>
      </c>
      <c r="O25" s="1">
        <v>45694</v>
      </c>
      <c r="P25">
        <v>18</v>
      </c>
      <c r="Q25">
        <v>49000</v>
      </c>
      <c r="R25">
        <v>7</v>
      </c>
      <c r="S25" t="s">
        <v>109</v>
      </c>
      <c r="T25" t="s">
        <v>116</v>
      </c>
    </row>
    <row r="26" spans="1:20" hidden="1" x14ac:dyDescent="0.3">
      <c r="A26" t="s">
        <v>120</v>
      </c>
      <c r="B26">
        <v>6328</v>
      </c>
      <c r="C26" s="2">
        <v>29106062700914</v>
      </c>
      <c r="D26" t="s">
        <v>44</v>
      </c>
      <c r="E26" t="s">
        <v>84</v>
      </c>
      <c r="F26" t="s">
        <v>22</v>
      </c>
      <c r="G26" t="s">
        <v>22</v>
      </c>
      <c r="H26" t="s">
        <v>23</v>
      </c>
      <c r="I26" t="s">
        <v>107</v>
      </c>
      <c r="J26" s="1"/>
      <c r="K26">
        <v>1121575979</v>
      </c>
      <c r="L26" s="1"/>
      <c r="M26" t="s">
        <v>121</v>
      </c>
      <c r="N26" t="s">
        <v>121</v>
      </c>
      <c r="O26" s="1">
        <v>45694</v>
      </c>
      <c r="P26">
        <v>18</v>
      </c>
      <c r="Q26">
        <v>25000</v>
      </c>
      <c r="R26">
        <v>1</v>
      </c>
      <c r="S26" t="s">
        <v>109</v>
      </c>
      <c r="T26" t="s">
        <v>116</v>
      </c>
    </row>
    <row r="27" spans="1:20" hidden="1" x14ac:dyDescent="0.3">
      <c r="A27" t="s">
        <v>122</v>
      </c>
      <c r="B27">
        <v>6329</v>
      </c>
      <c r="C27" s="2">
        <v>29406132701739</v>
      </c>
      <c r="D27" t="s">
        <v>37</v>
      </c>
      <c r="E27" t="s">
        <v>112</v>
      </c>
      <c r="F27" t="s">
        <v>22</v>
      </c>
      <c r="G27" t="s">
        <v>22</v>
      </c>
      <c r="H27" t="s">
        <v>23</v>
      </c>
      <c r="I27" t="s">
        <v>107</v>
      </c>
      <c r="J27" s="1"/>
      <c r="K27">
        <v>1027652467</v>
      </c>
      <c r="L27" s="1"/>
      <c r="M27" t="s">
        <v>123</v>
      </c>
      <c r="N27" t="s">
        <v>123</v>
      </c>
      <c r="O27" s="1">
        <v>45694</v>
      </c>
      <c r="P27">
        <v>18</v>
      </c>
      <c r="Q27">
        <v>30000</v>
      </c>
      <c r="R27">
        <v>1</v>
      </c>
      <c r="S27" t="s">
        <v>109</v>
      </c>
      <c r="T27" t="s">
        <v>116</v>
      </c>
    </row>
    <row r="28" spans="1:20" hidden="1" x14ac:dyDescent="0.3">
      <c r="A28" t="s">
        <v>124</v>
      </c>
      <c r="B28">
        <v>6330</v>
      </c>
      <c r="C28" s="2">
        <v>28506252701415</v>
      </c>
      <c r="D28" t="s">
        <v>37</v>
      </c>
      <c r="E28" t="s">
        <v>66</v>
      </c>
      <c r="F28" t="s">
        <v>125</v>
      </c>
      <c r="G28" t="s">
        <v>126</v>
      </c>
      <c r="H28" t="s">
        <v>61</v>
      </c>
      <c r="I28" t="s">
        <v>107</v>
      </c>
      <c r="J28" s="1"/>
      <c r="K28">
        <v>1010669188</v>
      </c>
      <c r="L28" s="1"/>
      <c r="M28" t="s">
        <v>127</v>
      </c>
      <c r="N28" t="s">
        <v>127</v>
      </c>
      <c r="O28" s="1">
        <v>45694</v>
      </c>
      <c r="P28">
        <v>12</v>
      </c>
      <c r="Q28">
        <v>34000</v>
      </c>
      <c r="R28">
        <v>1</v>
      </c>
      <c r="S28" t="s">
        <v>109</v>
      </c>
      <c r="T28" t="s">
        <v>116</v>
      </c>
    </row>
    <row r="29" spans="1:20" hidden="1" x14ac:dyDescent="0.3">
      <c r="A29" t="s">
        <v>128</v>
      </c>
      <c r="B29">
        <v>6331</v>
      </c>
      <c r="C29" s="2">
        <v>29303282702772</v>
      </c>
      <c r="D29" t="s">
        <v>37</v>
      </c>
      <c r="E29" t="s">
        <v>66</v>
      </c>
      <c r="F29" t="s">
        <v>46</v>
      </c>
      <c r="G29" t="s">
        <v>47</v>
      </c>
      <c r="H29" t="s">
        <v>34</v>
      </c>
      <c r="I29" t="s">
        <v>107</v>
      </c>
      <c r="J29" s="1"/>
      <c r="K29">
        <v>1032658574</v>
      </c>
      <c r="L29" s="1"/>
      <c r="M29" t="s">
        <v>129</v>
      </c>
      <c r="N29" t="s">
        <v>129</v>
      </c>
      <c r="O29" s="1">
        <v>45694</v>
      </c>
      <c r="P29">
        <v>12</v>
      </c>
      <c r="Q29">
        <v>32000</v>
      </c>
      <c r="R29">
        <v>1</v>
      </c>
      <c r="S29" t="s">
        <v>109</v>
      </c>
      <c r="T29" t="s">
        <v>116</v>
      </c>
    </row>
    <row r="30" spans="1:20" hidden="1" x14ac:dyDescent="0.3">
      <c r="A30" t="s">
        <v>130</v>
      </c>
      <c r="B30">
        <v>6332</v>
      </c>
      <c r="C30" s="2">
        <v>27912082701517</v>
      </c>
      <c r="D30" t="s">
        <v>37</v>
      </c>
      <c r="E30" t="s">
        <v>66</v>
      </c>
      <c r="F30" t="s">
        <v>131</v>
      </c>
      <c r="G30" t="s">
        <v>47</v>
      </c>
      <c r="H30" t="s">
        <v>34</v>
      </c>
      <c r="I30" t="s">
        <v>107</v>
      </c>
      <c r="J30" s="1"/>
      <c r="K30">
        <v>1090429513</v>
      </c>
      <c r="L30" s="1"/>
      <c r="M30" t="s">
        <v>132</v>
      </c>
      <c r="N30" t="s">
        <v>132</v>
      </c>
      <c r="O30" s="1">
        <v>45694</v>
      </c>
      <c r="P30">
        <v>12</v>
      </c>
      <c r="Q30">
        <v>34000</v>
      </c>
      <c r="R30">
        <v>1</v>
      </c>
      <c r="S30" t="s">
        <v>109</v>
      </c>
      <c r="T30" t="s">
        <v>116</v>
      </c>
    </row>
    <row r="31" spans="1:20" s="3" customFormat="1" x14ac:dyDescent="0.3">
      <c r="A31" s="3" t="s">
        <v>136</v>
      </c>
      <c r="B31" s="3">
        <v>4485</v>
      </c>
      <c r="C31" s="4">
        <v>29508072700298</v>
      </c>
      <c r="D31" s="3" t="s">
        <v>58</v>
      </c>
      <c r="E31" s="3" t="s">
        <v>45</v>
      </c>
      <c r="F31" s="3" t="s">
        <v>80</v>
      </c>
      <c r="G31" s="3" t="s">
        <v>47</v>
      </c>
      <c r="H31" s="3" t="s">
        <v>34</v>
      </c>
      <c r="I31" s="3" t="s">
        <v>107</v>
      </c>
      <c r="J31" s="3" t="str">
        <f>CONCATENATE($J$1,K31)</f>
        <v>01551241739</v>
      </c>
      <c r="K31" s="3">
        <v>1551241739</v>
      </c>
      <c r="L31" s="5"/>
      <c r="M31" s="3" t="s">
        <v>137</v>
      </c>
      <c r="N31" s="3" t="s">
        <v>137</v>
      </c>
      <c r="O31" s="5">
        <v>45696</v>
      </c>
      <c r="P31" s="3">
        <v>18</v>
      </c>
      <c r="Q31" s="3">
        <v>20000</v>
      </c>
      <c r="R31" s="3">
        <v>3</v>
      </c>
      <c r="S31" s="3" t="s">
        <v>109</v>
      </c>
      <c r="T31" s="3" t="s">
        <v>110</v>
      </c>
    </row>
    <row r="32" spans="1:20" s="3" customFormat="1" x14ac:dyDescent="0.3">
      <c r="A32" s="3" t="s">
        <v>155</v>
      </c>
      <c r="B32" s="3">
        <v>4540</v>
      </c>
      <c r="C32" s="4">
        <v>29211242700627</v>
      </c>
      <c r="D32" s="3" t="s">
        <v>37</v>
      </c>
      <c r="E32" s="3" t="s">
        <v>66</v>
      </c>
      <c r="F32" s="3" t="s">
        <v>22</v>
      </c>
      <c r="G32" s="3" t="s">
        <v>22</v>
      </c>
      <c r="H32" s="3" t="s">
        <v>23</v>
      </c>
      <c r="I32" s="3" t="s">
        <v>74</v>
      </c>
      <c r="J32" s="3" t="str">
        <f t="shared" ref="J32:J44" si="0">CONCATENATE($J$1,K32)</f>
        <v>01127193890</v>
      </c>
      <c r="K32" s="3">
        <v>1127193890</v>
      </c>
      <c r="L32" s="5"/>
      <c r="M32" s="3" t="s">
        <v>156</v>
      </c>
      <c r="N32" s="3" t="s">
        <v>156</v>
      </c>
      <c r="O32" s="5">
        <v>45701</v>
      </c>
      <c r="P32" s="3">
        <v>18</v>
      </c>
      <c r="Q32" s="3">
        <v>49000</v>
      </c>
      <c r="R32" s="3">
        <v>4</v>
      </c>
      <c r="S32" s="3" t="s">
        <v>74</v>
      </c>
      <c r="T32" s="3" t="s">
        <v>76</v>
      </c>
    </row>
    <row r="33" spans="1:20" s="3" customFormat="1" x14ac:dyDescent="0.3">
      <c r="A33" s="3" t="s">
        <v>157</v>
      </c>
      <c r="B33" s="3">
        <v>4896</v>
      </c>
      <c r="C33" s="4">
        <v>28912262700539</v>
      </c>
      <c r="D33" s="3" t="s">
        <v>44</v>
      </c>
      <c r="E33" s="3" t="s">
        <v>45</v>
      </c>
      <c r="F33" s="3" t="s">
        <v>22</v>
      </c>
      <c r="G33" s="3" t="s">
        <v>22</v>
      </c>
      <c r="H33" s="3" t="s">
        <v>23</v>
      </c>
      <c r="I33" s="3" t="s">
        <v>74</v>
      </c>
      <c r="J33" s="3" t="str">
        <f t="shared" si="0"/>
        <v>01062622242</v>
      </c>
      <c r="K33" s="3">
        <v>1062622242</v>
      </c>
      <c r="L33" s="5"/>
      <c r="M33" s="3" t="s">
        <v>158</v>
      </c>
      <c r="N33" s="3" t="s">
        <v>158</v>
      </c>
      <c r="O33" s="5">
        <v>45701</v>
      </c>
      <c r="P33" s="3">
        <v>18</v>
      </c>
      <c r="Q33" s="3">
        <v>30000</v>
      </c>
      <c r="R33" s="3">
        <v>3</v>
      </c>
      <c r="S33" s="3" t="s">
        <v>74</v>
      </c>
      <c r="T33" s="3" t="s">
        <v>76</v>
      </c>
    </row>
    <row r="34" spans="1:20" s="3" customFormat="1" x14ac:dyDescent="0.3">
      <c r="A34" s="3" t="s">
        <v>163</v>
      </c>
      <c r="B34" s="3">
        <v>5483</v>
      </c>
      <c r="C34" s="4">
        <v>28007292700415</v>
      </c>
      <c r="D34" s="3" t="s">
        <v>58</v>
      </c>
      <c r="E34" s="3" t="s">
        <v>38</v>
      </c>
      <c r="F34" s="3" t="s">
        <v>164</v>
      </c>
      <c r="G34" s="3" t="s">
        <v>47</v>
      </c>
      <c r="H34" s="3" t="s">
        <v>34</v>
      </c>
      <c r="I34" s="3" t="s">
        <v>107</v>
      </c>
      <c r="J34" s="3" t="str">
        <f t="shared" si="0"/>
        <v>01224451385</v>
      </c>
      <c r="K34" s="3">
        <v>1224451385</v>
      </c>
      <c r="L34" s="5"/>
      <c r="M34" s="3" t="s">
        <v>165</v>
      </c>
      <c r="N34" s="3" t="s">
        <v>165</v>
      </c>
      <c r="O34" s="5">
        <v>45704</v>
      </c>
      <c r="P34" s="3">
        <v>18</v>
      </c>
      <c r="Q34" s="3">
        <v>34000</v>
      </c>
      <c r="R34" s="3">
        <v>2</v>
      </c>
      <c r="S34" s="3" t="s">
        <v>109</v>
      </c>
      <c r="T34" s="3" t="s">
        <v>116</v>
      </c>
    </row>
    <row r="35" spans="1:20" s="3" customFormat="1" x14ac:dyDescent="0.3">
      <c r="A35" s="3" t="s">
        <v>138</v>
      </c>
      <c r="B35" s="3">
        <v>5637</v>
      </c>
      <c r="C35" s="4">
        <v>28208012702286</v>
      </c>
      <c r="D35" s="3" t="s">
        <v>50</v>
      </c>
      <c r="E35" s="3" t="s">
        <v>51</v>
      </c>
      <c r="F35" s="3" t="s">
        <v>32</v>
      </c>
      <c r="G35" s="3" t="s">
        <v>33</v>
      </c>
      <c r="H35" s="3" t="s">
        <v>34</v>
      </c>
      <c r="I35" s="3" t="s">
        <v>107</v>
      </c>
      <c r="J35" s="3" t="str">
        <f t="shared" si="0"/>
        <v>01220057088</v>
      </c>
      <c r="K35" s="3">
        <v>1220057088</v>
      </c>
      <c r="L35" s="5"/>
      <c r="M35" s="3" t="s">
        <v>139</v>
      </c>
      <c r="N35" s="3" t="s">
        <v>139</v>
      </c>
      <c r="O35" s="5">
        <v>45696</v>
      </c>
      <c r="P35" s="3">
        <v>18</v>
      </c>
      <c r="Q35" s="3">
        <v>20000</v>
      </c>
      <c r="R35" s="3">
        <v>2</v>
      </c>
      <c r="S35" s="3" t="s">
        <v>109</v>
      </c>
      <c r="T35" s="3" t="s">
        <v>110</v>
      </c>
    </row>
    <row r="36" spans="1:20" s="3" customFormat="1" x14ac:dyDescent="0.3">
      <c r="A36" s="3" t="s">
        <v>159</v>
      </c>
      <c r="B36" s="3">
        <v>5904</v>
      </c>
      <c r="C36" s="4">
        <v>28107082700484</v>
      </c>
      <c r="D36" s="3" t="s">
        <v>20</v>
      </c>
      <c r="E36" s="3" t="s">
        <v>45</v>
      </c>
      <c r="F36" s="3" t="s">
        <v>160</v>
      </c>
      <c r="G36" s="3" t="s">
        <v>161</v>
      </c>
      <c r="H36" s="3" t="s">
        <v>41</v>
      </c>
      <c r="I36" s="3" t="s">
        <v>74</v>
      </c>
      <c r="J36" s="3" t="str">
        <f t="shared" si="0"/>
        <v>01125067196</v>
      </c>
      <c r="K36" s="3">
        <v>1125067196</v>
      </c>
      <c r="L36" s="5"/>
      <c r="M36" s="3" t="s">
        <v>162</v>
      </c>
      <c r="N36" s="3" t="s">
        <v>162</v>
      </c>
      <c r="O36" s="5">
        <v>45701</v>
      </c>
      <c r="P36" s="3">
        <v>18</v>
      </c>
      <c r="Q36" s="3">
        <v>30000</v>
      </c>
      <c r="R36" s="3">
        <v>2</v>
      </c>
      <c r="S36" s="3" t="s">
        <v>74</v>
      </c>
      <c r="T36" s="3" t="s">
        <v>76</v>
      </c>
    </row>
    <row r="37" spans="1:20" s="3" customFormat="1" x14ac:dyDescent="0.3">
      <c r="A37" s="3" t="s">
        <v>140</v>
      </c>
      <c r="B37" s="3">
        <v>6327</v>
      </c>
      <c r="C37" s="4">
        <v>27803112700835</v>
      </c>
      <c r="D37" s="3" t="s">
        <v>50</v>
      </c>
      <c r="E37" s="3" t="s">
        <v>84</v>
      </c>
      <c r="F37" s="3" t="s">
        <v>22</v>
      </c>
      <c r="G37" s="3" t="s">
        <v>22</v>
      </c>
      <c r="H37" s="3" t="s">
        <v>23</v>
      </c>
      <c r="I37" s="3" t="s">
        <v>107</v>
      </c>
      <c r="J37" s="3" t="str">
        <f t="shared" si="0"/>
        <v>01154260170</v>
      </c>
      <c r="K37" s="3">
        <v>1154260170</v>
      </c>
      <c r="L37" s="5"/>
      <c r="M37" s="3" t="s">
        <v>141</v>
      </c>
      <c r="N37" s="3" t="s">
        <v>141</v>
      </c>
      <c r="O37" s="5">
        <v>45696</v>
      </c>
      <c r="P37" s="3">
        <v>18</v>
      </c>
      <c r="Q37" s="3">
        <v>20000</v>
      </c>
      <c r="R37" s="3">
        <v>1</v>
      </c>
      <c r="S37" s="3" t="s">
        <v>109</v>
      </c>
      <c r="T37" s="3" t="s">
        <v>110</v>
      </c>
    </row>
    <row r="38" spans="1:20" s="3" customFormat="1" x14ac:dyDescent="0.3">
      <c r="A38" s="3" t="s">
        <v>142</v>
      </c>
      <c r="B38" s="3">
        <v>6334</v>
      </c>
      <c r="C38" s="4">
        <v>30011012705189</v>
      </c>
      <c r="D38" s="3" t="s">
        <v>20</v>
      </c>
      <c r="E38" s="3" t="s">
        <v>143</v>
      </c>
      <c r="F38" s="3" t="s">
        <v>32</v>
      </c>
      <c r="G38" s="3" t="s">
        <v>33</v>
      </c>
      <c r="H38" s="3" t="s">
        <v>34</v>
      </c>
      <c r="I38" s="3" t="s">
        <v>107</v>
      </c>
      <c r="J38" s="3" t="str">
        <f t="shared" si="0"/>
        <v>01205488524</v>
      </c>
      <c r="K38" s="3">
        <v>1205488524</v>
      </c>
      <c r="L38" s="5"/>
      <c r="M38" s="3" t="s">
        <v>144</v>
      </c>
      <c r="N38" s="3" t="s">
        <v>144</v>
      </c>
      <c r="O38" s="5">
        <v>45696</v>
      </c>
      <c r="P38" s="3">
        <v>6</v>
      </c>
      <c r="Q38" s="3">
        <v>17000</v>
      </c>
      <c r="R38" s="3">
        <v>1</v>
      </c>
      <c r="S38" s="3" t="s">
        <v>109</v>
      </c>
      <c r="T38" s="3" t="s">
        <v>110</v>
      </c>
    </row>
    <row r="39" spans="1:20" s="3" customFormat="1" x14ac:dyDescent="0.3">
      <c r="A39" s="3" t="s">
        <v>147</v>
      </c>
      <c r="B39" s="3">
        <v>6335</v>
      </c>
      <c r="C39" s="4">
        <v>30401052703882</v>
      </c>
      <c r="D39" s="3" t="s">
        <v>20</v>
      </c>
      <c r="E39" s="3" t="s">
        <v>143</v>
      </c>
      <c r="F39" s="3" t="s">
        <v>32</v>
      </c>
      <c r="G39" s="3" t="s">
        <v>33</v>
      </c>
      <c r="H39" s="3" t="s">
        <v>34</v>
      </c>
      <c r="I39" s="3" t="s">
        <v>107</v>
      </c>
      <c r="J39" s="6" t="s">
        <v>166</v>
      </c>
      <c r="K39" s="5"/>
      <c r="L39" s="5"/>
      <c r="M39" s="3" t="s">
        <v>148</v>
      </c>
      <c r="N39" s="3" t="s">
        <v>148</v>
      </c>
      <c r="O39" s="5">
        <v>45696</v>
      </c>
      <c r="P39" s="3">
        <v>18</v>
      </c>
      <c r="Q39" s="3">
        <v>30000</v>
      </c>
      <c r="R39" s="3">
        <v>1</v>
      </c>
      <c r="S39" s="3" t="s">
        <v>109</v>
      </c>
      <c r="T39" s="3" t="s">
        <v>116</v>
      </c>
    </row>
    <row r="40" spans="1:20" s="3" customFormat="1" x14ac:dyDescent="0.3">
      <c r="A40" s="3" t="s">
        <v>145</v>
      </c>
      <c r="B40" s="3">
        <v>6336</v>
      </c>
      <c r="C40" s="4">
        <v>29210202701144</v>
      </c>
      <c r="D40" s="3" t="s">
        <v>20</v>
      </c>
      <c r="E40" s="3" t="s">
        <v>29</v>
      </c>
      <c r="F40" s="3" t="s">
        <v>32</v>
      </c>
      <c r="G40" s="3" t="s">
        <v>33</v>
      </c>
      <c r="H40" s="3" t="s">
        <v>34</v>
      </c>
      <c r="I40" s="3" t="s">
        <v>107</v>
      </c>
      <c r="J40" s="3" t="str">
        <f t="shared" si="0"/>
        <v>01091592892</v>
      </c>
      <c r="K40" s="3">
        <v>1091592892</v>
      </c>
      <c r="L40" s="5"/>
      <c r="M40" s="3" t="s">
        <v>146</v>
      </c>
      <c r="N40" s="3" t="s">
        <v>146</v>
      </c>
      <c r="O40" s="5">
        <v>45696</v>
      </c>
      <c r="P40" s="3">
        <v>12</v>
      </c>
      <c r="Q40" s="3">
        <v>20000</v>
      </c>
      <c r="R40" s="3">
        <v>1</v>
      </c>
      <c r="S40" s="3" t="s">
        <v>109</v>
      </c>
      <c r="T40" s="3" t="s">
        <v>110</v>
      </c>
    </row>
    <row r="41" spans="1:20" s="3" customFormat="1" x14ac:dyDescent="0.3">
      <c r="A41" s="3" t="s">
        <v>133</v>
      </c>
      <c r="B41" s="3">
        <v>6337</v>
      </c>
      <c r="C41" s="4">
        <v>30103172703281</v>
      </c>
      <c r="D41" s="3" t="s">
        <v>50</v>
      </c>
      <c r="E41" s="3" t="s">
        <v>134</v>
      </c>
      <c r="F41" s="3" t="s">
        <v>32</v>
      </c>
      <c r="G41" s="3" t="s">
        <v>33</v>
      </c>
      <c r="H41" s="3" t="s">
        <v>34</v>
      </c>
      <c r="I41" s="3" t="s">
        <v>24</v>
      </c>
      <c r="J41" s="3" t="str">
        <f t="shared" si="0"/>
        <v>01104512783</v>
      </c>
      <c r="K41" s="3">
        <v>1104512783</v>
      </c>
      <c r="L41" s="5"/>
      <c r="M41" s="3" t="s">
        <v>135</v>
      </c>
      <c r="N41" s="3" t="s">
        <v>135</v>
      </c>
      <c r="O41" s="5">
        <v>45696</v>
      </c>
      <c r="P41" s="3">
        <v>18</v>
      </c>
      <c r="Q41" s="3">
        <v>20000</v>
      </c>
      <c r="R41" s="3">
        <v>1</v>
      </c>
      <c r="S41" s="3" t="s">
        <v>26</v>
      </c>
      <c r="T41" s="3" t="s">
        <v>27</v>
      </c>
    </row>
    <row r="42" spans="1:20" s="3" customFormat="1" x14ac:dyDescent="0.3">
      <c r="A42" s="3" t="s">
        <v>149</v>
      </c>
      <c r="B42" s="3">
        <v>6339</v>
      </c>
      <c r="C42" s="4">
        <v>27701182701068</v>
      </c>
      <c r="D42" s="3" t="s">
        <v>58</v>
      </c>
      <c r="E42" s="3" t="s">
        <v>38</v>
      </c>
      <c r="F42" s="3" t="s">
        <v>22</v>
      </c>
      <c r="G42" s="3" t="s">
        <v>22</v>
      </c>
      <c r="H42" s="3" t="s">
        <v>23</v>
      </c>
      <c r="I42" s="3" t="s">
        <v>107</v>
      </c>
      <c r="J42" s="3" t="str">
        <f t="shared" si="0"/>
        <v>01283538419</v>
      </c>
      <c r="K42" s="3">
        <v>1283538419</v>
      </c>
      <c r="L42" s="5"/>
      <c r="M42" s="3" t="s">
        <v>150</v>
      </c>
      <c r="N42" s="3" t="s">
        <v>150</v>
      </c>
      <c r="O42" s="5">
        <v>45696</v>
      </c>
      <c r="P42" s="3">
        <v>18</v>
      </c>
      <c r="Q42" s="3">
        <v>34000</v>
      </c>
      <c r="R42" s="3">
        <v>1</v>
      </c>
      <c r="S42" s="3" t="s">
        <v>109</v>
      </c>
      <c r="T42" s="3" t="s">
        <v>116</v>
      </c>
    </row>
    <row r="43" spans="1:20" s="3" customFormat="1" x14ac:dyDescent="0.3">
      <c r="A43" s="3" t="s">
        <v>151</v>
      </c>
      <c r="B43" s="3">
        <v>6340</v>
      </c>
      <c r="C43" s="4">
        <v>27410122702541</v>
      </c>
      <c r="D43" s="3" t="s">
        <v>58</v>
      </c>
      <c r="E43" s="3" t="s">
        <v>84</v>
      </c>
      <c r="F43" s="3" t="s">
        <v>22</v>
      </c>
      <c r="G43" s="3" t="s">
        <v>22</v>
      </c>
      <c r="H43" s="3" t="s">
        <v>23</v>
      </c>
      <c r="I43" s="3" t="s">
        <v>107</v>
      </c>
      <c r="J43" s="3" t="str">
        <f t="shared" si="0"/>
        <v>01023438974</v>
      </c>
      <c r="K43" s="3">
        <v>1023438974</v>
      </c>
      <c r="L43" s="5"/>
      <c r="M43" s="3" t="s">
        <v>152</v>
      </c>
      <c r="N43" s="3" t="s">
        <v>152</v>
      </c>
      <c r="O43" s="5">
        <v>45696</v>
      </c>
      <c r="P43" s="3">
        <v>18</v>
      </c>
      <c r="Q43" s="3">
        <v>34000</v>
      </c>
      <c r="R43" s="3">
        <v>1</v>
      </c>
      <c r="S43" s="3" t="s">
        <v>109</v>
      </c>
      <c r="T43" s="3" t="s">
        <v>116</v>
      </c>
    </row>
    <row r="44" spans="1:20" s="3" customFormat="1" x14ac:dyDescent="0.3">
      <c r="A44" s="3" t="s">
        <v>153</v>
      </c>
      <c r="B44" s="3">
        <v>6341</v>
      </c>
      <c r="C44" s="4">
        <v>28909202701756</v>
      </c>
      <c r="D44" s="3" t="s">
        <v>44</v>
      </c>
      <c r="E44" s="3" t="s">
        <v>70</v>
      </c>
      <c r="F44" s="3" t="s">
        <v>46</v>
      </c>
      <c r="G44" s="3" t="s">
        <v>47</v>
      </c>
      <c r="H44" s="3" t="s">
        <v>34</v>
      </c>
      <c r="I44" s="3" t="s">
        <v>107</v>
      </c>
      <c r="J44" s="3" t="str">
        <f t="shared" si="0"/>
        <v>01016046243</v>
      </c>
      <c r="K44" s="3">
        <v>1016046243</v>
      </c>
      <c r="L44" s="5"/>
      <c r="M44" s="3" t="s">
        <v>154</v>
      </c>
      <c r="N44" s="3" t="s">
        <v>154</v>
      </c>
      <c r="O44" s="5">
        <v>45696</v>
      </c>
      <c r="P44" s="3">
        <v>18</v>
      </c>
      <c r="Q44" s="3">
        <v>34000</v>
      </c>
      <c r="R44" s="3">
        <v>1</v>
      </c>
      <c r="S44" s="3" t="s">
        <v>109</v>
      </c>
      <c r="T44" s="3" t="s">
        <v>116</v>
      </c>
    </row>
  </sheetData>
  <autoFilter ref="A1:T44">
    <filterColumn colId="14">
      <filters>
        <dateGroupItem year="2025" month="2" day="8" dateTimeGrouping="day"/>
        <dateGroupItem year="2025" month="2" day="13" dateTimeGrouping="day"/>
        <dateGroupItem year="2025" month="2" day="16" dateTimeGrouping="day"/>
      </filters>
    </filterColumn>
    <sortState ref="A31:T44">
      <sortCondition ref="B1:B44"/>
    </sortState>
  </autoFilter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Peter</cp:lastModifiedBy>
  <dcterms:created xsi:type="dcterms:W3CDTF">2025-02-16T12:25:09Z</dcterms:created>
  <dcterms:modified xsi:type="dcterms:W3CDTF">2025-02-16T14:04:34Z</dcterms:modified>
</cp:coreProperties>
</file>