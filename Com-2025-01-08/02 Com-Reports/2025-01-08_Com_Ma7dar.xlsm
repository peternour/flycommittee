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1-08\02 Com-Reports\"/>
    </mc:Choice>
  </mc:AlternateContent>
  <bookViews>
    <workbookView xWindow="120" yWindow="300" windowWidth="12120" windowHeight="8940" tabRatio="697" activeTab="5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تعزيز القدرات المؤسسية" sheetId="6" r:id="rId5"/>
    <sheet name="بنك الاسكندرية" sheetId="8" r:id="rId6"/>
    <sheet name="DATA" sheetId="2" r:id="rId7"/>
  </sheets>
  <functionGroups builtInGroupCount="18"/>
  <externalReferences>
    <externalReference r:id="rId8"/>
    <externalReference r:id="rId9"/>
  </externalReferences>
  <definedNames>
    <definedName name="_xlnm.Print_Area" localSheetId="3">الاسباني!$A$1:$L$70</definedName>
    <definedName name="_xlnm.Print_Area" localSheetId="1">'البنك الاهلى'!$A$1:$L$72</definedName>
    <definedName name="_xlnm.Print_Area" localSheetId="0">'ايدى فى ايدك'!$A$1:$L$70</definedName>
    <definedName name="_xlnm.Print_Area" localSheetId="5">'بنك الاسكندرية'!$A$1:$L$72</definedName>
    <definedName name="_xlnm.Print_Area" localSheetId="2">'بنك مصر'!$A$1:$L$71</definedName>
    <definedName name="_xlnm.Print_Area" localSheetId="4">'تعزيز القدرات المؤسسية'!$A$1:$L$68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 localSheetId="4">[1]DATA!$B$3:$D$19</definedName>
    <definedName name="الاعضاء">DATA!$B$3:$D$21</definedName>
  </definedNames>
  <calcPr calcId="162913"/>
</workbook>
</file>

<file path=xl/calcChain.xml><?xml version="1.0" encoding="utf-8"?>
<calcChain xmlns="http://schemas.openxmlformats.org/spreadsheetml/2006/main">
  <c r="F11" i="6" l="1"/>
  <c r="F11" i="5"/>
  <c r="F11" i="4"/>
  <c r="K40" i="1" l="1"/>
  <c r="K40" i="4" l="1"/>
  <c r="K39" i="5"/>
  <c r="K40" i="8"/>
  <c r="K37" i="6"/>
  <c r="J55" i="8" l="1"/>
  <c r="F55" i="8"/>
  <c r="K31" i="8"/>
  <c r="J31" i="8"/>
  <c r="F20" i="8"/>
  <c r="B20" i="8"/>
  <c r="B68" i="8" s="1"/>
  <c r="F19" i="8"/>
  <c r="B19" i="8"/>
  <c r="B67" i="8" s="1"/>
  <c r="F18" i="8"/>
  <c r="B18" i="8"/>
  <c r="B66" i="8" s="1"/>
  <c r="F17" i="8"/>
  <c r="B17" i="8"/>
  <c r="B65" i="8" s="1"/>
  <c r="F16" i="8"/>
  <c r="B16" i="8"/>
  <c r="B64" i="8" s="1"/>
  <c r="F15" i="8"/>
  <c r="B15" i="8"/>
  <c r="B63" i="8" s="1"/>
  <c r="F14" i="8"/>
  <c r="B14" i="8"/>
  <c r="B62" i="8" s="1"/>
  <c r="F13" i="8"/>
  <c r="B13" i="8"/>
  <c r="B61" i="8" s="1"/>
  <c r="F12" i="8"/>
  <c r="B12" i="8"/>
  <c r="B60" i="8" s="1"/>
  <c r="F11" i="8"/>
  <c r="B11" i="8"/>
  <c r="B59" i="8" s="1"/>
  <c r="C10" i="8"/>
  <c r="J22" i="8"/>
  <c r="J52" i="6" l="1"/>
  <c r="F52" i="6"/>
  <c r="K28" i="6"/>
  <c r="J28" i="6"/>
  <c r="F20" i="6"/>
  <c r="B20" i="6"/>
  <c r="B65" i="6" s="1"/>
  <c r="F19" i="6"/>
  <c r="B19" i="6"/>
  <c r="B64" i="6" s="1"/>
  <c r="F18" i="6"/>
  <c r="B18" i="6"/>
  <c r="B63" i="6" s="1"/>
  <c r="F17" i="6"/>
  <c r="B17" i="6"/>
  <c r="B62" i="6" s="1"/>
  <c r="F16" i="6"/>
  <c r="B16" i="6"/>
  <c r="B61" i="6" s="1"/>
  <c r="F15" i="6"/>
  <c r="B15" i="6"/>
  <c r="B60" i="6" s="1"/>
  <c r="F14" i="6"/>
  <c r="B14" i="6"/>
  <c r="B59" i="6" s="1"/>
  <c r="F13" i="6"/>
  <c r="B13" i="6"/>
  <c r="B58" i="6" s="1"/>
  <c r="F12" i="6"/>
  <c r="B12" i="6"/>
  <c r="B57" i="6" s="1"/>
  <c r="B11" i="6"/>
  <c r="B56" i="6" s="1"/>
  <c r="C10" i="6"/>
  <c r="J22" i="6"/>
  <c r="K40" i="3" l="1"/>
  <c r="K30" i="3"/>
  <c r="J30" i="3"/>
  <c r="F19" i="1" l="1"/>
  <c r="F19" i="4"/>
  <c r="F19" i="5"/>
  <c r="F19" i="3"/>
  <c r="B19" i="1"/>
  <c r="B67" i="1" s="1"/>
  <c r="B19" i="4"/>
  <c r="B67" i="4" s="1"/>
  <c r="B19" i="5"/>
  <c r="B66" i="5" s="1"/>
  <c r="B19" i="3"/>
  <c r="B67" i="3" s="1"/>
  <c r="C10" i="1" l="1"/>
  <c r="C10" i="4"/>
  <c r="C10" i="5"/>
  <c r="C10" i="3"/>
  <c r="F18" i="3" l="1"/>
  <c r="F18" i="1"/>
  <c r="F18" i="4"/>
  <c r="F18" i="5"/>
  <c r="B18" i="3"/>
  <c r="B66" i="3" s="1"/>
  <c r="B18" i="1"/>
  <c r="B66" i="1" s="1"/>
  <c r="B18" i="4"/>
  <c r="B66" i="4" s="1"/>
  <c r="B18" i="5"/>
  <c r="B65" i="5" s="1"/>
  <c r="J54" i="5" l="1"/>
  <c r="F54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B11" i="5"/>
  <c r="B58" i="5" s="1"/>
  <c r="J22" i="5"/>
  <c r="B64" i="5" l="1"/>
  <c r="J55" i="3" l="1"/>
  <c r="F55" i="3"/>
  <c r="J55" i="4"/>
  <c r="F55" i="4"/>
  <c r="F13" i="4"/>
  <c r="F14" i="4"/>
  <c r="F15" i="4"/>
  <c r="F16" i="4"/>
  <c r="F17" i="4"/>
  <c r="F20" i="4"/>
  <c r="F20" i="1"/>
  <c r="F20" i="3"/>
  <c r="B20" i="3"/>
  <c r="B68" i="3" s="1"/>
  <c r="J22" i="3"/>
  <c r="J22" i="1"/>
  <c r="J22" i="4"/>
  <c r="K31" i="1" l="1"/>
  <c r="J31" i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8" i="4" s="1"/>
  <c r="B11" i="4"/>
  <c r="B65" i="4" l="1"/>
  <c r="B64" i="4"/>
  <c r="B63" i="4"/>
  <c r="B62" i="4"/>
  <c r="B61" i="4"/>
  <c r="B60" i="4"/>
  <c r="B59" i="4"/>
  <c r="F12" i="3" l="1"/>
  <c r="F13" i="3"/>
  <c r="F14" i="3"/>
  <c r="F15" i="3"/>
  <c r="F16" i="3"/>
  <c r="F17" i="3"/>
  <c r="B12" i="3"/>
  <c r="B60" i="3" s="1"/>
  <c r="B13" i="3"/>
  <c r="B61" i="3" s="1"/>
  <c r="B14" i="3"/>
  <c r="B62" i="3" s="1"/>
  <c r="B15" i="3"/>
  <c r="B63" i="3" s="1"/>
  <c r="B16" i="3"/>
  <c r="B64" i="3" s="1"/>
  <c r="B17" i="3"/>
  <c r="B65" i="3" s="1"/>
  <c r="F11" i="3"/>
  <c r="B11" i="3"/>
  <c r="B59" i="3" s="1"/>
  <c r="F55" i="1" l="1"/>
  <c r="J55" i="1"/>
  <c r="B12" i="1" l="1"/>
  <c r="B13" i="1"/>
  <c r="B14" i="1"/>
  <c r="B15" i="1"/>
  <c r="B63" i="1" s="1"/>
  <c r="B16" i="1"/>
  <c r="B17" i="1"/>
  <c r="B65" i="1" s="1"/>
  <c r="B20" i="1"/>
  <c r="B68" i="1" s="1"/>
  <c r="B11" i="1"/>
  <c r="B60" i="1" l="1"/>
  <c r="B61" i="1"/>
  <c r="B62" i="1"/>
  <c r="B64" i="1"/>
  <c r="F12" i="1"/>
  <c r="F11" i="1"/>
  <c r="B59" i="1"/>
</calcChain>
</file>

<file path=xl/sharedStrings.xml><?xml version="1.0" encoding="utf-8"?>
<sst xmlns="http://schemas.openxmlformats.org/spreadsheetml/2006/main" count="417" uniqueCount="107">
  <si>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</si>
  <si>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</si>
  <si>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</si>
  <si>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</si>
  <si>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</si>
  <si>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</si>
  <si>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</si>
  <si>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</si>
  <si>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</si>
  <si>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</si>
  <si>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</si>
  <si>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</si>
  <si>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</si>
  <si>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</si>
  <si>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</si>
  <si>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</si>
  <si>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</si>
  <si>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</si>
  <si>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</si>
  <si>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</si>
  <si>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</si>
  <si>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</si>
  <si>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</si>
  <si>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</si>
  <si>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</si>
  <si>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</si>
  <si>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</si>
  <si>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بمكتب التمويل متناهى الصغر نجع حمادى</t>
  </si>
  <si>
    <t>الوظيفة</t>
  </si>
  <si>
    <t>--------------------------------------------------------------------------------------------------------------------------------------------------</t>
  </si>
  <si>
    <t>خلف المحكمه - ش 15 مايو – نجع حمادى        تليفاكس 2570336 /096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</si>
  <si>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</si>
  <si>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</si>
  <si>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</si>
  <si>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</si>
  <si>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</si>
  <si>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</si>
  <si>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اسيوط</t>
  </si>
  <si>
    <t>نائب مدير التمويل متناهى الصغر بمحافظة الاقصر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</si>
  <si>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</si>
  <si>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</si>
  <si>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</si>
  <si>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التمويل متناهى الصغر بمحافظة الاقصر</t>
  </si>
  <si>
    <t>مدير فرع التمويل متناهى الصغر بالقوصيه</t>
  </si>
  <si>
    <t>مدير فرع التمويل متناهى الصغر بابوتشت</t>
  </si>
  <si>
    <t>مدير فرع التمويل متناهى الصغر بالمريس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</si>
  <si>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</si>
  <si>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</si>
  <si>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</si>
  <si>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 xml:space="preserve">محول من فروع اخرى 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</si>
  <si>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</si>
  <si>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</si>
  <si>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</si>
  <si>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</si>
  <si>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ملاك جرجس فاروق</t>
  </si>
  <si>
    <t>اكرم وليم غبريال</t>
  </si>
  <si>
    <t>عماد كمال ايوب</t>
  </si>
  <si>
    <t>عادل اديب ناشد</t>
  </si>
  <si>
    <t>مايكل حنا يوسف</t>
  </si>
  <si>
    <t>يوسف قاعود منصور</t>
  </si>
  <si>
    <t>ابانوب عبدالله عبدالملاك</t>
  </si>
  <si>
    <t>مختار عوض عطيه</t>
  </si>
  <si>
    <t>اليصابات عادل ناشد</t>
  </si>
  <si>
    <t>جورج راشد موريس</t>
  </si>
  <si>
    <t>مينا شهدي زارع</t>
  </si>
  <si>
    <t>وائل مترى ناشد</t>
  </si>
  <si>
    <t>نائب مدير مكتب التمويل متناهى الصغر بمحافظة الاقصر</t>
  </si>
  <si>
    <t>ايمن ناجح شوقي</t>
  </si>
  <si>
    <t>ميمو بطرس ميخائيل</t>
  </si>
  <si>
    <t>مدير فرع التمويل متناهى الصغر بجهينه</t>
  </si>
  <si>
    <t>وبلغت الطلبات التى تم عرضها على اللجنه عدد</t>
  </si>
  <si>
    <t>عزت نادي لويس</t>
  </si>
  <si>
    <t>نائب مدير التمويل متناهى الصغر بمحافظة اسيوط</t>
  </si>
  <si>
    <t>بيتر جمال لويس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</si>
  <si>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</si>
  <si>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</si>
  <si>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</si>
  <si>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الجارى رقم 1180001000006309</t>
  </si>
  <si>
    <t xml:space="preserve">الجارى رقم 108103509041 </t>
  </si>
  <si>
    <t>ببنك مصر فرع رمسيس وذلك طبقا لحافظة كروت ميزه المرفقه</t>
  </si>
  <si>
    <t>مدير التمويل متناهى الصغر بمحافظة سوهاج</t>
  </si>
  <si>
    <t>ببنك الاسكندرية فرع غمرة وذلك طبقا لحافظة كروت ميزة المرفقة</t>
  </si>
  <si>
    <t>الهيئة الاسبانية (تمكين السيدات اجتماعيا واقتصاديا)</t>
  </si>
  <si>
    <t xml:space="preserve">بناء عليه وافقت اللجنه على الصرف لطلبات التمويلات للعملاء عن طريق التحويلات البنكية علي الحساب </t>
  </si>
  <si>
    <t>الجارى رقم 1182000000000010 &amp;1182000000000021 ببنك مصر فرع رمسيس وذلك طبقا لحافظة كروت ميزة المرفقة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</si>
  <si>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</si>
  <si>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</si>
  <si>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</si>
  <si>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</si>
  <si>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عليها بلجنة البنك الاهلى(شريحة أ البنك الاهلي)(مرفق كشف القروض المعتمده من اللجنة)</t>
  </si>
  <si>
    <t>الطلبات التى وافقت عليها بلجنة البنك الاهلى(شريحة ب البنك الاهلي)(مرفق كشف القروض المعتمده من اللجنة)</t>
  </si>
  <si>
    <t>مدير العمليات</t>
  </si>
  <si>
    <t>تعزيز القدرات المؤسسية</t>
  </si>
  <si>
    <t>الطلبات التى وافقت اللجنه عليها بلجنه تعزيز القدرات المؤسسية (مرفق كشف القروض المعتمده من اللجنة)</t>
  </si>
  <si>
    <t xml:space="preserve">الجارى رقم 108103509051 </t>
  </si>
  <si>
    <t>تمويل بنك الاسكندرية</t>
  </si>
  <si>
    <t>الطلبات التى وافقت عليها بلجنة بنك الاسكندرية(شريحة أ بنك الاسكندرية)(مرفق كشف القروض المعتمده من اللجنة)</t>
  </si>
  <si>
    <t>الطلبات التى وافقت عليها بلجنة بنك الاسكندرية(شريحة ب بنك الاسكندرية)(مرفق كشف القروض المعتمده من اللجنة)</t>
  </si>
  <si>
    <t>تمويل متاح</t>
  </si>
  <si>
    <t>الطلبات التى وافقت عليها بلجنة بنك الاسكندرية(شريحة ج)(مرفق كشف القروض المعتمده من اللجنة)</t>
  </si>
  <si>
    <t>الطلبات التى وافقت عليها بلجنة البنك الاهلى(شريحة ج البنك الاهلي)(مرفق كشف القروض المعتمده من اللجنة)</t>
  </si>
  <si>
    <t>نصحي مقار نصحي</t>
  </si>
  <si>
    <t>رئيس مجموعة مكتب التمويل بنجع حمادي</t>
  </si>
  <si>
    <t>مدير مكتب التمويل متناهى الصغر بفرشوط</t>
  </si>
  <si>
    <t>هدرا وحيد دكران</t>
  </si>
  <si>
    <t>رئيس مجموعة مكتب التمويل بفرشوط</t>
  </si>
  <si>
    <t>الطلبات التى وافقت اللجنه عليها بلجنه الهيئة الاسبانية 20%(مرفق كشف القروض المعتمده من اللجنة)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</si>
</sst>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"/>
  </numFmts>
  <fonts count="33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1" fontId="8" fillId="0" borderId="0" xfId="0" applyNumberFormat="1" applyFont="1" applyBorder="1" applyAlignment="1"/>
    <xf numFmtId="0" fontId="8" fillId="0" borderId="0" xfId="0" applyFont="1" applyBorder="1" applyAlignment="1"/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25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8" xfId="0" applyFont="1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1" fontId="8" fillId="0" borderId="0" xfId="0" applyNumberFormat="1" applyFont="1" applyBorder="1" applyAlignment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 vertical="center" readingOrder="2"/>
    </xf>
    <xf numFmtId="0" fontId="8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Protection="1">
      <protection locked="0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26" fillId="0" borderId="0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9" fillId="0" borderId="19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9" fillId="0" borderId="24" xfId="0" applyFont="1" applyBorder="1" applyAlignment="1" applyProtection="1">
      <alignment horizontal="right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23" fillId="0" borderId="0" xfId="0" applyFont="1" applyBorder="1" applyAlignment="1">
      <alignment horizontal="right" shrinkToFit="1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7" fillId="0" borderId="8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right" shrinkToFit="1"/>
    </xf>
    <xf numFmtId="0" fontId="16" fillId="0" borderId="15" xfId="0" applyFont="1" applyBorder="1" applyAlignment="1">
      <alignment horizontal="right" shrinkToFit="1"/>
    </xf>
    <xf numFmtId="0" fontId="16" fillId="0" borderId="16" xfId="0" applyFont="1" applyBorder="1" applyAlignment="1">
      <alignment horizontal="right" shrinkToFit="1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8" fillId="0" borderId="0" xfId="0" applyFont="1" applyBorder="1" applyAlignment="1">
      <alignment horizontal="center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8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shrinkToFit="1"/>
    </xf>
    <xf numFmtId="1" fontId="28" fillId="0" borderId="0" xfId="0" applyNumberFormat="1" applyFont="1" applyBorder="1" applyAlignment="1">
      <alignment horizontal="center" vertical="center" shrinkToFit="1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</cellXfs>
  <cellStyles count="1">
    <cellStyle name="Normal" xfId="0" builtinId="0"/>
  </cellStyles>
  <dxfs count="5">
    <dxf>
      <font>
        <b/>
        <i val="0"/>
      </font>
    </dxf>
    <dxf>
      <alignment horizontal="right" vertical="center" textRotation="0" wrapText="0" indent="0" justifyLastLine="0" shrinkToFit="0" readingOrder="2"/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image" Target="../media/image7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70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 flipH="1">
          <a:off x="9981445552" y="12682855"/>
          <a:ext cx="443933" cy="301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 flipH="1">
          <a:off x="9981455077" y="25488330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 flipH="1"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 flipH="1">
          <a:off x="9981485361" y="14023975"/>
          <a:ext cx="447764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 flipH="1"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 flipH="1">
          <a:off x="9985491649" y="14083030"/>
          <a:ext cx="2407930" cy="102679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263525</xdr:rowOff>
    </xdr:from>
    <xdr:to>
      <xdr:col>10</xdr:col>
      <xdr:colOff>1011623</xdr:colOff>
      <xdr:row>69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37</xdr:row>
      <xdr:rowOff>386080</xdr:rowOff>
    </xdr:from>
    <xdr:to>
      <xdr:col>10</xdr:col>
      <xdr:colOff>1021148</xdr:colOff>
      <xdr:row>37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30581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66</xdr:row>
      <xdr:rowOff>415925</xdr:rowOff>
    </xdr:from>
    <xdr:to>
      <xdr:col>10</xdr:col>
      <xdr:colOff>1011623</xdr:colOff>
      <xdr:row>66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5390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486891</xdr:colOff>
      <xdr:row>0</xdr:row>
      <xdr:rowOff>79240</xdr:rowOff>
    </xdr:from>
    <xdr:to>
      <xdr:col>11</xdr:col>
      <xdr:colOff>503708</xdr:colOff>
      <xdr:row>6</xdr:row>
      <xdr:rowOff>137354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4242" y="79240"/>
          <a:ext cx="1445567" cy="1086814"/>
        </a:xfrm>
        <a:prstGeom prst="rect">
          <a:avLst/>
        </a:prstGeom>
      </xdr:spPr>
    </xdr:pic>
    <xdr:clientData/>
  </xdr:twoCellAnchor>
  <xdr:twoCellAnchor editAs="oneCell">
    <xdr:from>
      <xdr:col>8</xdr:col>
      <xdr:colOff>69693</xdr:colOff>
      <xdr:row>0</xdr:row>
      <xdr:rowOff>79240</xdr:rowOff>
    </xdr:from>
    <xdr:to>
      <xdr:col>8</xdr:col>
      <xdr:colOff>663460</xdr:colOff>
      <xdr:row>5</xdr:row>
      <xdr:rowOff>80744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84415" y="79240"/>
          <a:ext cx="593767" cy="858754"/>
        </a:xfrm>
        <a:prstGeom prst="rect">
          <a:avLst/>
        </a:prstGeom>
      </xdr:spPr>
    </xdr:pic>
    <xdr:clientData/>
  </xdr:twoCellAnchor>
  <xdr:twoCellAnchor editAs="oneCell">
    <xdr:from>
      <xdr:col>4</xdr:col>
      <xdr:colOff>658992</xdr:colOff>
      <xdr:row>0</xdr:row>
      <xdr:rowOff>79240</xdr:rowOff>
    </xdr:from>
    <xdr:to>
      <xdr:col>5</xdr:col>
      <xdr:colOff>226832</xdr:colOff>
      <xdr:row>5</xdr:row>
      <xdr:rowOff>103643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92643" y="79240"/>
          <a:ext cx="701315" cy="881653"/>
        </a:xfrm>
        <a:prstGeom prst="rect">
          <a:avLst/>
        </a:prstGeom>
      </xdr:spPr>
    </xdr:pic>
    <xdr:clientData/>
  </xdr:twoCellAnchor>
  <xdr:twoCellAnchor editAs="oneCell">
    <xdr:from>
      <xdr:col>0</xdr:col>
      <xdr:colOff>75121</xdr:colOff>
      <xdr:row>0</xdr:row>
      <xdr:rowOff>79240</xdr:rowOff>
    </xdr:from>
    <xdr:to>
      <xdr:col>3</xdr:col>
      <xdr:colOff>33464</xdr:colOff>
      <xdr:row>6</xdr:row>
      <xdr:rowOff>52419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24336" y="79240"/>
          <a:ext cx="1777618" cy="1001879"/>
        </a:xfrm>
        <a:prstGeom prst="rect">
          <a:avLst/>
        </a:prstGeom>
      </xdr:spPr>
    </xdr:pic>
    <xdr:clientData/>
  </xdr:twoCellAnchor>
  <xdr:twoCellAnchor editAs="oneCell">
    <xdr:from>
      <xdr:col>10</xdr:col>
      <xdr:colOff>510830</xdr:colOff>
      <xdr:row>40</xdr:row>
      <xdr:rowOff>99060</xdr:rowOff>
    </xdr:from>
    <xdr:to>
      <xdr:col>11</xdr:col>
      <xdr:colOff>527647</xdr:colOff>
      <xdr:row>46</xdr:row>
      <xdr:rowOff>35254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6493" y="13426440"/>
          <a:ext cx="1449377" cy="1063954"/>
        </a:xfrm>
        <a:prstGeom prst="rect">
          <a:avLst/>
        </a:prstGeom>
      </xdr:spPr>
    </xdr:pic>
    <xdr:clientData/>
  </xdr:twoCellAnchor>
  <xdr:twoCellAnchor editAs="oneCell">
    <xdr:from>
      <xdr:col>8</xdr:col>
      <xdr:colOff>93632</xdr:colOff>
      <xdr:row>40</xdr:row>
      <xdr:rowOff>99060</xdr:rowOff>
    </xdr:from>
    <xdr:to>
      <xdr:col>8</xdr:col>
      <xdr:colOff>687399</xdr:colOff>
      <xdr:row>44</xdr:row>
      <xdr:rowOff>146284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62381" y="13426440"/>
          <a:ext cx="593767" cy="839704"/>
        </a:xfrm>
        <a:prstGeom prst="rect">
          <a:avLst/>
        </a:prstGeom>
      </xdr:spPr>
    </xdr:pic>
    <xdr:clientData/>
  </xdr:twoCellAnchor>
  <xdr:twoCellAnchor editAs="oneCell">
    <xdr:from>
      <xdr:col>4</xdr:col>
      <xdr:colOff>682931</xdr:colOff>
      <xdr:row>40</xdr:row>
      <xdr:rowOff>99060</xdr:rowOff>
    </xdr:from>
    <xdr:to>
      <xdr:col>5</xdr:col>
      <xdr:colOff>250771</xdr:colOff>
      <xdr:row>45</xdr:row>
      <xdr:rowOff>1543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70609" y="13426440"/>
          <a:ext cx="703220" cy="86260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40</xdr:row>
      <xdr:rowOff>99060</xdr:rowOff>
    </xdr:from>
    <xdr:to>
      <xdr:col>3</xdr:col>
      <xdr:colOff>57403</xdr:colOff>
      <xdr:row>45</xdr:row>
      <xdr:rowOff>117959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08017" y="13426440"/>
          <a:ext cx="1779523" cy="979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646660"/>
          <a:ext cx="443933" cy="29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463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7268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1761"/>
          <a:ext cx="448147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0320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985875"/>
          <a:ext cx="4481459" cy="134445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8" name="Picture 7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83132" y="11789"/>
          <a:ext cx="1465978" cy="14493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7980" y="217576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24650" y="13973174"/>
          <a:ext cx="1298666" cy="11016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3554" y="14044930"/>
          <a:ext cx="2413645" cy="101536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21" totalsRowShown="0" headerRowDxfId="4" dataDxfId="3">
  <autoFilter ref="B2:D21"/>
  <sortState ref="B3:D18">
    <sortCondition ref="B2:B18"/>
  </sortState>
  <tableColumns count="3">
    <tableColumn id="1" name="الكود" dataDxfId="2"/>
    <tableColumn id="2" name="الاسم" dataDxfId="1"/>
    <tableColumn id="3" name="الوظيفة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style="83" customWidth="1"/>
    <col min="2" max="2" width="12.5546875" style="83" customWidth="1"/>
    <col min="3" max="3" width="8.88671875" style="83" customWidth="1"/>
    <col min="4" max="4" width="10.33203125" style="83" customWidth="1"/>
    <col min="5" max="5" width="16.5546875" style="83" bestFit="1" customWidth="1"/>
    <col min="6" max="6" width="8.88671875" style="83"/>
    <col min="7" max="7" width="5.33203125" style="83" customWidth="1"/>
    <col min="8" max="8" width="5.77734375" style="83" customWidth="1"/>
    <col min="9" max="9" width="15.109375" style="83" customWidth="1"/>
    <col min="10" max="10" width="10.88671875" style="83" customWidth="1"/>
    <col min="11" max="11" width="20.88671875" style="83" customWidth="1"/>
    <col min="12" max="12" width="8.88671875" style="83" customWidth="1"/>
    <col min="13" max="13" width="9.6640625" style="83" customWidth="1"/>
    <col min="14" max="16384" width="8.88671875" style="83"/>
  </cols>
  <sheetData>
    <row r="1" spans="1:12" x14ac:dyDescent="0.25">
      <c r="A1" s="80"/>
      <c r="B1" s="81"/>
      <c r="C1" s="81"/>
      <c r="D1" s="81"/>
      <c r="E1" s="81"/>
      <c r="F1" s="81"/>
      <c r="G1" s="81"/>
      <c r="H1" s="81"/>
      <c r="I1" s="81"/>
      <c r="J1" s="81"/>
      <c r="K1" s="81"/>
      <c r="L1" s="82"/>
    </row>
    <row r="2" spans="1:12" x14ac:dyDescent="0.25">
      <c r="A2" s="84"/>
      <c r="B2" s="85"/>
      <c r="C2" s="85"/>
      <c r="D2" s="85"/>
      <c r="E2" s="85"/>
      <c r="F2" s="85"/>
      <c r="G2" s="85"/>
      <c r="H2" s="85"/>
      <c r="I2" s="85"/>
      <c r="J2" s="85"/>
      <c r="K2" s="85"/>
      <c r="L2" s="86"/>
    </row>
    <row r="3" spans="1:12" x14ac:dyDescent="0.2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6"/>
    </row>
    <row r="4" spans="1:12" x14ac:dyDescent="0.25">
      <c r="A4" s="84"/>
      <c r="B4" s="85"/>
      <c r="C4" s="85"/>
      <c r="D4" s="85"/>
      <c r="E4" s="85"/>
      <c r="F4" s="85"/>
      <c r="G4" s="85"/>
      <c r="H4" s="85"/>
      <c r="I4" s="85"/>
      <c r="J4" s="85"/>
      <c r="K4" s="85"/>
      <c r="L4" s="86"/>
    </row>
    <row r="5" spans="1:12" x14ac:dyDescent="0.25">
      <c r="A5" s="84"/>
      <c r="B5" s="85"/>
      <c r="C5" s="85"/>
      <c r="D5" s="85"/>
      <c r="E5" s="85"/>
      <c r="F5" s="85"/>
      <c r="G5" s="85"/>
      <c r="H5" s="85"/>
      <c r="I5" s="85"/>
      <c r="J5" s="85"/>
      <c r="K5" s="85"/>
      <c r="L5" s="86"/>
    </row>
    <row r="6" spans="1:12" x14ac:dyDescent="0.25">
      <c r="A6" s="84"/>
      <c r="B6" s="85"/>
      <c r="C6" s="85"/>
      <c r="D6" s="85"/>
      <c r="E6" s="85"/>
      <c r="F6" s="85"/>
      <c r="G6" s="85"/>
      <c r="H6" s="85"/>
      <c r="I6" s="85"/>
      <c r="J6" s="85"/>
      <c r="K6" s="85"/>
      <c r="L6" s="86"/>
    </row>
    <row r="7" spans="1:12" ht="25.5" customHeight="1" x14ac:dyDescent="0.25">
      <c r="A7" s="84"/>
      <c r="B7" s="85"/>
      <c r="C7" s="85"/>
      <c r="D7" s="85"/>
      <c r="E7" s="85"/>
      <c r="F7" s="85"/>
      <c r="G7" s="85"/>
      <c r="H7" s="85"/>
      <c r="I7" s="85"/>
      <c r="J7" s="85"/>
      <c r="K7" s="85"/>
      <c r="L7" s="86"/>
    </row>
    <row r="8" spans="1:12" ht="56.25" customHeight="1" x14ac:dyDescent="0.4">
      <c r="A8" s="84"/>
      <c r="B8" s="141" t="s">
        <v>24</v>
      </c>
      <c r="C8" s="142"/>
      <c r="D8" s="142"/>
      <c r="E8" s="142"/>
      <c r="F8" s="142"/>
      <c r="G8" s="142"/>
      <c r="H8" s="142"/>
      <c r="I8" s="142"/>
      <c r="J8" s="142"/>
      <c r="K8" s="85"/>
      <c r="L8" s="86"/>
    </row>
    <row r="9" spans="1:12" ht="16.5" customHeight="1" x14ac:dyDescent="0.25">
      <c r="A9" s="84"/>
      <c r="B9" s="85"/>
      <c r="C9" s="85"/>
      <c r="D9" s="85"/>
      <c r="E9" s="85"/>
      <c r="F9" s="85"/>
      <c r="G9" s="85"/>
      <c r="H9" s="85"/>
      <c r="I9" s="85"/>
      <c r="J9" s="85"/>
      <c r="K9" s="85"/>
      <c r="L9" s="86"/>
    </row>
    <row r="10" spans="1:12" s="92" customFormat="1" ht="22.8" x14ac:dyDescent="0.4">
      <c r="A10" s="87"/>
      <c r="B10" s="88" t="s">
        <v>0</v>
      </c>
      <c r="C10" s="89">
        <f>E10</f>
        <v>0</v>
      </c>
      <c r="D10" s="88" t="s">
        <v>1</v>
      </c>
      <c r="E10" s="68"/>
      <c r="F10" s="88" t="s">
        <v>25</v>
      </c>
      <c r="G10" s="88"/>
      <c r="H10" s="88"/>
      <c r="I10" s="88"/>
      <c r="J10" s="88"/>
      <c r="K10" s="90"/>
      <c r="L10" s="91"/>
    </row>
    <row r="11" spans="1:12" s="92" customFormat="1" ht="28.2" customHeight="1" x14ac:dyDescent="0.4">
      <c r="A11" s="69"/>
      <c r="B11" s="93" t="str">
        <f>IFERROR(VLOOKUP(A11,Table1[#All],2,0),"")</f>
        <v/>
      </c>
      <c r="C11" s="93"/>
      <c r="D11" s="93"/>
      <c r="E11" s="94"/>
      <c r="F11" s="147" t="str">
        <f>IFERROR(VLOOKUP(A11,Table1[#All],3,0),"")</f>
        <v/>
      </c>
      <c r="G11" s="147"/>
      <c r="H11" s="147"/>
      <c r="I11" s="147"/>
      <c r="J11" s="147"/>
      <c r="K11" s="95" t="s">
        <v>32</v>
      </c>
      <c r="L11" s="96"/>
    </row>
    <row r="12" spans="1:12" s="92" customFormat="1" ht="28.2" customHeight="1" x14ac:dyDescent="0.4">
      <c r="A12" s="69"/>
      <c r="B12" s="93" t="str">
        <f>IFERROR(VLOOKUP(A12,Table1[#All],2,0),"")</f>
        <v/>
      </c>
      <c r="C12" s="93"/>
      <c r="D12" s="93"/>
      <c r="E12" s="94"/>
      <c r="F12" s="147" t="str">
        <f>IFERROR(VLOOKUP(A12,Table1[#All],3,0),"")</f>
        <v/>
      </c>
      <c r="G12" s="147"/>
      <c r="H12" s="147"/>
      <c r="I12" s="147"/>
      <c r="J12" s="147"/>
      <c r="K12" s="95" t="s">
        <v>32</v>
      </c>
      <c r="L12" s="96"/>
    </row>
    <row r="13" spans="1:12" s="92" customFormat="1" ht="28.2" customHeight="1" x14ac:dyDescent="0.4">
      <c r="A13" s="69"/>
      <c r="B13" s="93" t="str">
        <f>IFERROR(VLOOKUP(A13,Table1[#All],2,0),"")</f>
        <v/>
      </c>
      <c r="C13" s="93"/>
      <c r="D13" s="93"/>
      <c r="E13" s="94"/>
      <c r="F13" s="147" t="str">
        <f>IFERROR(VLOOKUP(A13,Table1[#All],3,0),"")</f>
        <v/>
      </c>
      <c r="G13" s="147"/>
      <c r="H13" s="147"/>
      <c r="I13" s="147"/>
      <c r="J13" s="147"/>
      <c r="K13" s="95" t="s">
        <v>32</v>
      </c>
      <c r="L13" s="96"/>
    </row>
    <row r="14" spans="1:12" s="92" customFormat="1" ht="28.2" customHeight="1" x14ac:dyDescent="0.4">
      <c r="A14" s="69"/>
      <c r="B14" s="93" t="str">
        <f>IFERROR(VLOOKUP(A14,Table1[#All],2,0),"")</f>
        <v/>
      </c>
      <c r="C14" s="93"/>
      <c r="D14" s="93"/>
      <c r="E14" s="94"/>
      <c r="F14" s="147" t="str">
        <f>IFERROR(VLOOKUP(A14,Table1[#All],3,0),"")</f>
        <v/>
      </c>
      <c r="G14" s="147"/>
      <c r="H14" s="147"/>
      <c r="I14" s="147"/>
      <c r="J14" s="147"/>
      <c r="K14" s="95" t="s">
        <v>32</v>
      </c>
      <c r="L14" s="96"/>
    </row>
    <row r="15" spans="1:12" s="92" customFormat="1" ht="28.2" customHeight="1" x14ac:dyDescent="0.4">
      <c r="A15" s="69"/>
      <c r="B15" s="93" t="str">
        <f>IFERROR(VLOOKUP(A15,Table1[#All],2,0),"")</f>
        <v/>
      </c>
      <c r="C15" s="93"/>
      <c r="D15" s="93"/>
      <c r="E15" s="94"/>
      <c r="F15" s="147" t="str">
        <f>IFERROR(VLOOKUP(A15,Table1[#All],3,0),"")</f>
        <v/>
      </c>
      <c r="G15" s="147"/>
      <c r="H15" s="147"/>
      <c r="I15" s="147"/>
      <c r="J15" s="147"/>
      <c r="K15" s="95" t="s">
        <v>32</v>
      </c>
      <c r="L15" s="96"/>
    </row>
    <row r="16" spans="1:12" s="92" customFormat="1" ht="28.2" customHeight="1" x14ac:dyDescent="0.4">
      <c r="A16" s="69"/>
      <c r="B16" s="93" t="str">
        <f>IFERROR(VLOOKUP(A16,Table1[#All],2,0),"")</f>
        <v/>
      </c>
      <c r="C16" s="93"/>
      <c r="D16" s="93"/>
      <c r="E16" s="94"/>
      <c r="F16" s="147" t="str">
        <f>IFERROR(VLOOKUP(A16,Table1[#All],3,0),"")</f>
        <v/>
      </c>
      <c r="G16" s="147"/>
      <c r="H16" s="147"/>
      <c r="I16" s="147"/>
      <c r="J16" s="147"/>
      <c r="K16" s="95" t="s">
        <v>32</v>
      </c>
      <c r="L16" s="96"/>
    </row>
    <row r="17" spans="1:13" s="92" customFormat="1" ht="28.2" customHeight="1" x14ac:dyDescent="0.4">
      <c r="A17" s="69"/>
      <c r="B17" s="93" t="str">
        <f>IFERROR(VLOOKUP(A17,Table1[#All],2,0),"")</f>
        <v/>
      </c>
      <c r="C17" s="93"/>
      <c r="D17" s="93"/>
      <c r="E17" s="94"/>
      <c r="F17" s="147" t="str">
        <f>IFERROR(VLOOKUP(A17,Table1[#All],3,0),"")</f>
        <v/>
      </c>
      <c r="G17" s="147"/>
      <c r="H17" s="147"/>
      <c r="I17" s="147"/>
      <c r="J17" s="147"/>
      <c r="K17" s="95" t="s">
        <v>32</v>
      </c>
      <c r="L17" s="96"/>
    </row>
    <row r="18" spans="1:13" s="92" customFormat="1" ht="28.2" customHeight="1" x14ac:dyDescent="0.4">
      <c r="A18" s="69"/>
      <c r="B18" s="93" t="str">
        <f>IFERROR(VLOOKUP(A18,Table1[#All],2,0),"")</f>
        <v/>
      </c>
      <c r="C18" s="93"/>
      <c r="D18" s="93"/>
      <c r="E18" s="94"/>
      <c r="F18" s="147" t="str">
        <f>IFERROR(VLOOKUP(A18,Table1[#All],3,0),"")</f>
        <v/>
      </c>
      <c r="G18" s="147"/>
      <c r="H18" s="147"/>
      <c r="I18" s="147"/>
      <c r="J18" s="147"/>
      <c r="K18" s="95" t="s">
        <v>32</v>
      </c>
      <c r="L18" s="96"/>
    </row>
    <row r="19" spans="1:13" s="92" customFormat="1" ht="28.2" customHeight="1" x14ac:dyDescent="0.4">
      <c r="A19" s="69"/>
      <c r="B19" s="93" t="str">
        <f>IFERROR(VLOOKUP(A19,Table1[#All],2,0),"")</f>
        <v/>
      </c>
      <c r="C19" s="93"/>
      <c r="D19" s="93"/>
      <c r="E19" s="94"/>
      <c r="F19" s="147" t="str">
        <f>IFERROR(VLOOKUP(A19,Table1[#All],3,0),"")</f>
        <v/>
      </c>
      <c r="G19" s="147"/>
      <c r="H19" s="147"/>
      <c r="I19" s="147"/>
      <c r="J19" s="147"/>
      <c r="K19" s="95" t="s">
        <v>32</v>
      </c>
      <c r="L19" s="96"/>
    </row>
    <row r="20" spans="1:13" ht="28.2" customHeight="1" x14ac:dyDescent="0.4">
      <c r="A20" s="70"/>
      <c r="B20" s="93" t="str">
        <f>IFERROR(VLOOKUP(A20,Table1[#All],2,0),"")</f>
        <v/>
      </c>
      <c r="C20" s="85"/>
      <c r="D20" s="85"/>
      <c r="E20" s="85"/>
      <c r="F20" s="147" t="str">
        <f>IFERROR(VLOOKUP(A20,Table1[#All],3,0),"")</f>
        <v/>
      </c>
      <c r="G20" s="147"/>
      <c r="H20" s="147"/>
      <c r="I20" s="147"/>
      <c r="J20" s="147"/>
      <c r="K20" s="95" t="s">
        <v>32</v>
      </c>
      <c r="L20" s="98"/>
    </row>
    <row r="21" spans="1:13" ht="24" customHeight="1" x14ac:dyDescent="0.4">
      <c r="A21" s="84"/>
      <c r="B21" s="99" t="s">
        <v>46</v>
      </c>
      <c r="C21" s="99"/>
      <c r="D21" s="99"/>
      <c r="E21" s="99"/>
      <c r="F21" s="99"/>
      <c r="G21" s="99"/>
      <c r="H21" s="99"/>
      <c r="I21" s="99" t="s">
        <v>47</v>
      </c>
      <c r="J21" s="100" t="s">
        <v>27</v>
      </c>
      <c r="K21" s="99"/>
      <c r="L21" s="101"/>
      <c r="M21" s="102"/>
    </row>
    <row r="22" spans="1:13" ht="29.25" customHeight="1" x14ac:dyDescent="0.4">
      <c r="A22" s="84"/>
      <c r="B22" s="100" t="s">
        <v>70</v>
      </c>
      <c r="C22" s="99"/>
      <c r="D22" s="99"/>
      <c r="E22" s="99"/>
      <c r="F22" s="71"/>
      <c r="G22" s="103" t="s">
        <v>2</v>
      </c>
      <c r="H22" s="104"/>
      <c r="I22" s="72"/>
      <c r="J22" s="148" t="str">
        <f>NoToTxt(I22,"جنيها","قرش")&amp;" لاغير"</f>
        <v>صفر لاغير</v>
      </c>
      <c r="K22" s="148"/>
      <c r="L22" s="149"/>
      <c r="M22" s="102"/>
    </row>
    <row r="23" spans="1:13" ht="29.25" customHeight="1" x14ac:dyDescent="0.4">
      <c r="A23" s="84"/>
      <c r="B23" s="99" t="s">
        <v>13</v>
      </c>
      <c r="C23" s="99"/>
      <c r="D23" s="99"/>
      <c r="E23" s="99"/>
      <c r="F23" s="99"/>
      <c r="G23" s="99"/>
      <c r="H23" s="99"/>
      <c r="I23" s="99"/>
      <c r="J23" s="99"/>
      <c r="K23" s="99"/>
      <c r="L23" s="101"/>
      <c r="M23" s="102"/>
    </row>
    <row r="24" spans="1:13" ht="29.25" customHeight="1" thickBot="1" x14ac:dyDescent="0.45">
      <c r="A24" s="84"/>
      <c r="B24" s="99" t="s">
        <v>26</v>
      </c>
      <c r="C24" s="99"/>
      <c r="D24" s="99"/>
      <c r="E24" s="99"/>
      <c r="F24" s="99"/>
      <c r="G24" s="99"/>
      <c r="H24" s="99"/>
      <c r="I24" s="99"/>
      <c r="J24" s="99"/>
      <c r="K24" s="99"/>
      <c r="L24" s="101"/>
      <c r="M24" s="102"/>
    </row>
    <row r="25" spans="1:13" ht="22.8" x14ac:dyDescent="0.4">
      <c r="A25" s="84"/>
      <c r="B25" s="105"/>
      <c r="C25" s="106" t="s">
        <v>3</v>
      </c>
      <c r="D25" s="143" t="s">
        <v>6</v>
      </c>
      <c r="E25" s="143"/>
      <c r="F25" s="143"/>
      <c r="G25" s="143"/>
      <c r="H25" s="143"/>
      <c r="I25" s="143"/>
      <c r="J25" s="107" t="s">
        <v>5</v>
      </c>
      <c r="K25" s="108" t="s">
        <v>4</v>
      </c>
      <c r="L25" s="109"/>
      <c r="M25" s="102"/>
    </row>
    <row r="26" spans="1:13" ht="28.95" customHeight="1" x14ac:dyDescent="0.4">
      <c r="A26" s="84"/>
      <c r="B26" s="105"/>
      <c r="C26" s="110">
        <v>1</v>
      </c>
      <c r="D26" s="144" t="s">
        <v>51</v>
      </c>
      <c r="E26" s="144"/>
      <c r="F26" s="144"/>
      <c r="G26" s="144"/>
      <c r="H26" s="144"/>
      <c r="I26" s="144"/>
      <c r="J26" s="75"/>
      <c r="K26" s="77"/>
      <c r="L26" s="101"/>
      <c r="M26" s="102"/>
    </row>
    <row r="27" spans="1:13" ht="28.95" customHeight="1" x14ac:dyDescent="0.4">
      <c r="A27" s="84"/>
      <c r="B27" s="105"/>
      <c r="C27" s="110">
        <v>2</v>
      </c>
      <c r="D27" s="144" t="s">
        <v>52</v>
      </c>
      <c r="E27" s="144"/>
      <c r="F27" s="144"/>
      <c r="G27" s="144"/>
      <c r="H27" s="144"/>
      <c r="I27" s="144"/>
      <c r="J27" s="75"/>
      <c r="K27" s="77"/>
      <c r="L27" s="101"/>
      <c r="M27" s="102"/>
    </row>
    <row r="28" spans="1:13" ht="30.75" hidden="1" customHeight="1" x14ac:dyDescent="0.4">
      <c r="A28" s="84"/>
      <c r="B28" s="105"/>
      <c r="C28" s="110"/>
      <c r="D28" s="145"/>
      <c r="E28" s="146"/>
      <c r="F28" s="146"/>
      <c r="G28" s="146"/>
      <c r="H28" s="146"/>
      <c r="I28" s="146"/>
      <c r="J28" s="75"/>
      <c r="K28" s="76"/>
      <c r="L28" s="101"/>
      <c r="M28" s="102"/>
    </row>
    <row r="29" spans="1:13" ht="30.75" hidden="1" customHeight="1" x14ac:dyDescent="0.4">
      <c r="A29" s="84"/>
      <c r="B29" s="105"/>
      <c r="C29" s="110"/>
      <c r="D29" s="145"/>
      <c r="E29" s="146"/>
      <c r="F29" s="146"/>
      <c r="G29" s="146"/>
      <c r="H29" s="146"/>
      <c r="I29" s="146"/>
      <c r="J29" s="75"/>
      <c r="K29" s="76"/>
      <c r="L29" s="101"/>
      <c r="M29" s="102"/>
    </row>
    <row r="30" spans="1:13" ht="30.75" customHeight="1" thickBot="1" x14ac:dyDescent="0.45">
      <c r="A30" s="84"/>
      <c r="B30" s="105"/>
      <c r="C30" s="151" t="s">
        <v>9</v>
      </c>
      <c r="D30" s="152"/>
      <c r="E30" s="152"/>
      <c r="F30" s="152"/>
      <c r="G30" s="152"/>
      <c r="H30" s="152"/>
      <c r="I30" s="152"/>
      <c r="J30" s="111">
        <f>SUM(J26:J27)</f>
        <v>0</v>
      </c>
      <c r="K30" s="111">
        <f>SUM(K26:K27)</f>
        <v>0</v>
      </c>
      <c r="L30" s="101"/>
      <c r="M30" s="102"/>
    </row>
    <row r="31" spans="1:13" ht="29.25" customHeight="1" thickBot="1" x14ac:dyDescent="0.45">
      <c r="A31" s="84"/>
      <c r="B31" s="99" t="s">
        <v>10</v>
      </c>
      <c r="C31" s="99"/>
      <c r="D31" s="99"/>
      <c r="E31" s="99"/>
      <c r="F31" s="99"/>
      <c r="G31" s="99"/>
      <c r="H31" s="99"/>
      <c r="I31" s="99"/>
      <c r="J31" s="99"/>
      <c r="K31" s="99"/>
      <c r="L31" s="101"/>
      <c r="M31" s="102"/>
    </row>
    <row r="32" spans="1:13" ht="22.8" x14ac:dyDescent="0.4">
      <c r="A32" s="84"/>
      <c r="B32" s="105"/>
      <c r="C32" s="106" t="s">
        <v>3</v>
      </c>
      <c r="D32" s="143" t="s">
        <v>6</v>
      </c>
      <c r="E32" s="143"/>
      <c r="F32" s="143"/>
      <c r="G32" s="143"/>
      <c r="H32" s="143"/>
      <c r="I32" s="143"/>
      <c r="J32" s="143"/>
      <c r="K32" s="108" t="s">
        <v>20</v>
      </c>
      <c r="L32" s="109"/>
      <c r="M32" s="102"/>
    </row>
    <row r="33" spans="1:13" ht="30.75" customHeight="1" x14ac:dyDescent="0.4">
      <c r="A33" s="84"/>
      <c r="B33" s="105"/>
      <c r="C33" s="110">
        <v>1</v>
      </c>
      <c r="D33" s="150" t="s">
        <v>17</v>
      </c>
      <c r="E33" s="150"/>
      <c r="F33" s="150"/>
      <c r="G33" s="150"/>
      <c r="H33" s="150"/>
      <c r="I33" s="150"/>
      <c r="J33" s="150"/>
      <c r="K33" s="77"/>
      <c r="L33" s="101"/>
      <c r="M33" s="102"/>
    </row>
    <row r="34" spans="1:13" ht="30.75" customHeight="1" x14ac:dyDescent="0.4">
      <c r="A34" s="84"/>
      <c r="B34" s="105"/>
      <c r="C34" s="110">
        <v>2</v>
      </c>
      <c r="D34" s="112" t="s">
        <v>18</v>
      </c>
      <c r="E34" s="113"/>
      <c r="F34" s="113"/>
      <c r="G34" s="113"/>
      <c r="H34" s="113"/>
      <c r="I34" s="113"/>
      <c r="J34" s="114"/>
      <c r="K34" s="78"/>
      <c r="L34" s="101"/>
      <c r="M34" s="102"/>
    </row>
    <row r="35" spans="1:13" ht="30.75" customHeight="1" x14ac:dyDescent="0.4">
      <c r="A35" s="84"/>
      <c r="B35" s="105"/>
      <c r="C35" s="110">
        <v>3</v>
      </c>
      <c r="D35" s="150" t="s">
        <v>19</v>
      </c>
      <c r="E35" s="150"/>
      <c r="F35" s="150"/>
      <c r="G35" s="153"/>
      <c r="H35" s="150"/>
      <c r="I35" s="150"/>
      <c r="J35" s="150"/>
      <c r="K35" s="77"/>
      <c r="L35" s="101"/>
      <c r="M35" s="102"/>
    </row>
    <row r="36" spans="1:13" ht="30.75" customHeight="1" x14ac:dyDescent="0.4">
      <c r="A36" s="84"/>
      <c r="B36" s="105"/>
      <c r="C36" s="115">
        <v>4</v>
      </c>
      <c r="D36" s="154" t="s">
        <v>48</v>
      </c>
      <c r="E36" s="155"/>
      <c r="F36" s="155"/>
      <c r="G36" s="155"/>
      <c r="H36" s="155"/>
      <c r="I36" s="155"/>
      <c r="J36" s="156"/>
      <c r="K36" s="78"/>
      <c r="L36" s="101"/>
      <c r="M36" s="102"/>
    </row>
    <row r="37" spans="1:13" ht="30" customHeight="1" x14ac:dyDescent="0.4">
      <c r="A37" s="84"/>
      <c r="B37" s="105"/>
      <c r="C37" s="110">
        <v>5</v>
      </c>
      <c r="D37" s="150" t="s">
        <v>11</v>
      </c>
      <c r="E37" s="150"/>
      <c r="F37" s="150"/>
      <c r="G37" s="150"/>
      <c r="H37" s="150"/>
      <c r="I37" s="150"/>
      <c r="J37" s="150"/>
      <c r="K37" s="77"/>
      <c r="L37" s="101"/>
      <c r="M37" s="102"/>
    </row>
    <row r="38" spans="1:13" ht="30" customHeight="1" x14ac:dyDescent="0.4">
      <c r="A38" s="84"/>
      <c r="B38" s="105"/>
      <c r="C38" s="115">
        <v>6</v>
      </c>
      <c r="D38" s="154" t="s">
        <v>49</v>
      </c>
      <c r="E38" s="155"/>
      <c r="F38" s="155"/>
      <c r="G38" s="155"/>
      <c r="H38" s="155"/>
      <c r="I38" s="155"/>
      <c r="J38" s="156"/>
      <c r="K38" s="79"/>
      <c r="L38" s="101"/>
      <c r="M38" s="102"/>
    </row>
    <row r="39" spans="1:13" ht="30" customHeight="1" x14ac:dyDescent="0.4">
      <c r="A39" s="84"/>
      <c r="B39" s="105"/>
      <c r="C39" s="115">
        <v>7</v>
      </c>
      <c r="D39" s="154" t="s">
        <v>21</v>
      </c>
      <c r="E39" s="155"/>
      <c r="F39" s="155"/>
      <c r="G39" s="155"/>
      <c r="H39" s="155"/>
      <c r="I39" s="155"/>
      <c r="J39" s="156"/>
      <c r="K39" s="79"/>
      <c r="L39" s="101"/>
      <c r="M39" s="102"/>
    </row>
    <row r="40" spans="1:13" ht="30.75" customHeight="1" thickBot="1" x14ac:dyDescent="0.45">
      <c r="A40" s="84"/>
      <c r="B40" s="105"/>
      <c r="C40" s="151" t="s">
        <v>12</v>
      </c>
      <c r="D40" s="152"/>
      <c r="E40" s="152"/>
      <c r="F40" s="152"/>
      <c r="G40" s="152"/>
      <c r="H40" s="152"/>
      <c r="I40" s="152"/>
      <c r="J40" s="152"/>
      <c r="K40" s="116">
        <f>SUM(K33:K38)-K39</f>
        <v>0</v>
      </c>
      <c r="L40" s="101"/>
      <c r="M40" s="102"/>
    </row>
    <row r="41" spans="1:13" ht="59.25" customHeight="1" x14ac:dyDescent="0.4">
      <c r="A41" s="84"/>
      <c r="B41" s="117"/>
      <c r="C41" s="117"/>
      <c r="D41" s="117"/>
      <c r="E41" s="117"/>
      <c r="F41" s="117"/>
      <c r="G41" s="117"/>
      <c r="H41" s="117"/>
      <c r="I41" s="117"/>
      <c r="J41" s="117"/>
      <c r="K41" s="118"/>
      <c r="L41" s="119"/>
    </row>
    <row r="42" spans="1:13" ht="40.5" customHeight="1" thickBot="1" x14ac:dyDescent="0.45">
      <c r="A42" s="120"/>
      <c r="B42" s="121"/>
      <c r="C42" s="157" t="s">
        <v>30</v>
      </c>
      <c r="D42" s="157"/>
      <c r="E42" s="157"/>
      <c r="F42" s="157"/>
      <c r="G42" s="157"/>
      <c r="H42" s="157"/>
      <c r="I42" s="157"/>
      <c r="J42" s="157"/>
      <c r="K42" s="121"/>
      <c r="L42" s="122"/>
    </row>
    <row r="43" spans="1:13" ht="12" customHeight="1" x14ac:dyDescent="0.4">
      <c r="A43" s="80"/>
      <c r="B43" s="123"/>
      <c r="C43" s="123"/>
      <c r="D43" s="123"/>
      <c r="E43" s="123"/>
      <c r="F43" s="123"/>
      <c r="G43" s="123"/>
      <c r="H43" s="123"/>
      <c r="I43" s="123"/>
      <c r="J43" s="123"/>
      <c r="K43" s="123"/>
      <c r="L43" s="124"/>
    </row>
    <row r="44" spans="1:13" ht="22.8" x14ac:dyDescent="0.4">
      <c r="A44" s="84"/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1"/>
    </row>
    <row r="45" spans="1:13" x14ac:dyDescent="0.25">
      <c r="A45" s="84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6"/>
    </row>
    <row r="46" spans="1:13" x14ac:dyDescent="0.25">
      <c r="A46" s="84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6"/>
    </row>
    <row r="47" spans="1:13" x14ac:dyDescent="0.25">
      <c r="A47" s="84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6"/>
    </row>
    <row r="48" spans="1:13" x14ac:dyDescent="0.25">
      <c r="A48" s="84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6"/>
    </row>
    <row r="49" spans="1:12" x14ac:dyDescent="0.25">
      <c r="A49" s="84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6"/>
    </row>
    <row r="50" spans="1:12" x14ac:dyDescent="0.25">
      <c r="A50" s="84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6"/>
    </row>
    <row r="51" spans="1:12" x14ac:dyDescent="0.25">
      <c r="A51" s="84"/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6"/>
    </row>
    <row r="52" spans="1:12" ht="33.75" customHeight="1" x14ac:dyDescent="0.4">
      <c r="A52" s="84"/>
      <c r="B52" s="99" t="s">
        <v>22</v>
      </c>
      <c r="C52" s="99"/>
      <c r="D52" s="99"/>
      <c r="E52" s="99"/>
      <c r="F52" s="99"/>
      <c r="G52" s="99"/>
      <c r="H52" s="99"/>
      <c r="I52" s="99"/>
      <c r="J52" s="99"/>
      <c r="K52" s="99"/>
      <c r="L52" s="86"/>
    </row>
    <row r="53" spans="1:12" ht="30" customHeight="1" x14ac:dyDescent="0.4">
      <c r="A53" s="84"/>
      <c r="B53" s="99" t="s">
        <v>83</v>
      </c>
      <c r="C53" s="99"/>
      <c r="D53" s="99"/>
      <c r="E53" s="99"/>
      <c r="F53" s="99"/>
      <c r="G53" s="99"/>
      <c r="H53" s="99"/>
      <c r="I53" s="99"/>
      <c r="J53" s="99"/>
      <c r="K53" s="99"/>
      <c r="L53" s="86"/>
    </row>
    <row r="54" spans="1:12" ht="30" customHeight="1" x14ac:dyDescent="0.4">
      <c r="A54" s="84"/>
      <c r="B54" s="125" t="s">
        <v>77</v>
      </c>
      <c r="C54" s="125"/>
      <c r="D54" s="125"/>
      <c r="E54" s="99"/>
      <c r="F54" s="99" t="s">
        <v>79</v>
      </c>
      <c r="G54" s="99"/>
      <c r="H54" s="99"/>
      <c r="I54" s="99"/>
      <c r="J54" s="99"/>
      <c r="K54" s="99"/>
      <c r="L54" s="86"/>
    </row>
    <row r="55" spans="1:12" ht="33.75" customHeight="1" x14ac:dyDescent="0.4">
      <c r="A55" s="97">
        <v>2</v>
      </c>
      <c r="B55" s="99" t="s">
        <v>33</v>
      </c>
      <c r="C55" s="126"/>
      <c r="D55" s="126"/>
      <c r="E55" s="99"/>
      <c r="F55" s="100" t="str">
        <f>IFERROR((VLOOKUP(A55,Table1[#All],2,0)),"")</f>
        <v>سامح بلامون عبدالسيد</v>
      </c>
      <c r="G55" s="99"/>
      <c r="H55" s="99"/>
      <c r="I55" s="99"/>
      <c r="J55" s="127" t="str">
        <f>IFERROR((VLOOKUP(A55,Table1[#All],3,0)),"")</f>
        <v>مدير التمويل متناهى الصغر بمحافظة قنا</v>
      </c>
      <c r="K55" s="99"/>
      <c r="L55" s="86"/>
    </row>
    <row r="56" spans="1:12" ht="33.75" customHeight="1" x14ac:dyDescent="0.4">
      <c r="A56" s="84"/>
      <c r="B56" s="99" t="s">
        <v>34</v>
      </c>
      <c r="C56" s="99"/>
      <c r="D56" s="99"/>
      <c r="E56" s="99"/>
      <c r="F56" s="99"/>
      <c r="G56" s="99"/>
      <c r="H56" s="99"/>
      <c r="I56" s="99"/>
      <c r="J56" s="99"/>
      <c r="K56" s="99"/>
      <c r="L56" s="86"/>
    </row>
    <row r="57" spans="1:12" ht="30" customHeight="1" x14ac:dyDescent="0.4">
      <c r="A57" s="84"/>
      <c r="B57" s="99" t="s">
        <v>14</v>
      </c>
      <c r="C57" s="99"/>
      <c r="D57" s="99"/>
      <c r="E57" s="99"/>
      <c r="F57" s="99"/>
      <c r="G57" s="99"/>
      <c r="H57" s="99"/>
      <c r="I57" s="99"/>
      <c r="J57" s="99"/>
      <c r="K57" s="99"/>
      <c r="L57" s="86"/>
    </row>
    <row r="58" spans="1:12" ht="42.75" customHeight="1" x14ac:dyDescent="0.4">
      <c r="A58" s="84"/>
      <c r="B58" s="158" t="s">
        <v>15</v>
      </c>
      <c r="C58" s="158"/>
      <c r="D58" s="99"/>
      <c r="E58" s="99"/>
      <c r="F58" s="99"/>
      <c r="G58" s="158" t="s">
        <v>16</v>
      </c>
      <c r="H58" s="158"/>
      <c r="I58" s="158"/>
      <c r="J58" s="158"/>
      <c r="K58" s="158"/>
      <c r="L58" s="86"/>
    </row>
    <row r="59" spans="1:12" ht="28.8" customHeight="1" x14ac:dyDescent="0.4">
      <c r="A59" s="133">
        <v>1</v>
      </c>
      <c r="B59" s="99" t="str">
        <f t="shared" ref="B59:B68" si="0">"الاستاذ "&amp;B11</f>
        <v xml:space="preserve">الاستاذ </v>
      </c>
      <c r="C59" s="99"/>
      <c r="D59" s="99"/>
      <c r="E59" s="99"/>
      <c r="F59" s="99"/>
      <c r="G59" s="139" t="s">
        <v>29</v>
      </c>
      <c r="H59" s="140"/>
      <c r="I59" s="140"/>
      <c r="J59" s="140"/>
      <c r="K59" s="140"/>
      <c r="L59" s="86"/>
    </row>
    <row r="60" spans="1:12" ht="28.8" customHeight="1" x14ac:dyDescent="0.4">
      <c r="A60" s="133">
        <v>2</v>
      </c>
      <c r="B60" s="99" t="str">
        <f t="shared" si="0"/>
        <v xml:space="preserve">الاستاذ </v>
      </c>
      <c r="C60" s="99"/>
      <c r="D60" s="99"/>
      <c r="E60" s="99"/>
      <c r="F60" s="99"/>
      <c r="G60" s="139" t="s">
        <v>29</v>
      </c>
      <c r="H60" s="140"/>
      <c r="I60" s="140"/>
      <c r="J60" s="140"/>
      <c r="K60" s="140"/>
      <c r="L60" s="86"/>
    </row>
    <row r="61" spans="1:12" ht="28.8" customHeight="1" x14ac:dyDescent="0.4">
      <c r="A61" s="133">
        <v>3</v>
      </c>
      <c r="B61" s="99" t="str">
        <f t="shared" si="0"/>
        <v xml:space="preserve">الاستاذ </v>
      </c>
      <c r="C61" s="99"/>
      <c r="D61" s="99"/>
      <c r="E61" s="99"/>
      <c r="F61" s="99"/>
      <c r="G61" s="139" t="s">
        <v>29</v>
      </c>
      <c r="H61" s="140"/>
      <c r="I61" s="140"/>
      <c r="J61" s="140"/>
      <c r="K61" s="140"/>
      <c r="L61" s="86"/>
    </row>
    <row r="62" spans="1:12" ht="28.8" customHeight="1" x14ac:dyDescent="0.4">
      <c r="A62" s="133">
        <v>4</v>
      </c>
      <c r="B62" s="99" t="str">
        <f t="shared" si="0"/>
        <v xml:space="preserve">الاستاذ </v>
      </c>
      <c r="C62" s="99"/>
      <c r="D62" s="99"/>
      <c r="E62" s="99"/>
      <c r="F62" s="99"/>
      <c r="G62" s="139" t="s">
        <v>29</v>
      </c>
      <c r="H62" s="140"/>
      <c r="I62" s="140"/>
      <c r="J62" s="140"/>
      <c r="K62" s="140"/>
      <c r="L62" s="86"/>
    </row>
    <row r="63" spans="1:12" ht="28.8" customHeight="1" x14ac:dyDescent="0.4">
      <c r="A63" s="133">
        <v>5</v>
      </c>
      <c r="B63" s="99" t="str">
        <f t="shared" si="0"/>
        <v xml:space="preserve">الاستاذ </v>
      </c>
      <c r="C63" s="99"/>
      <c r="D63" s="99"/>
      <c r="E63" s="99"/>
      <c r="F63" s="99"/>
      <c r="G63" s="139" t="s">
        <v>29</v>
      </c>
      <c r="H63" s="140"/>
      <c r="I63" s="140"/>
      <c r="J63" s="140"/>
      <c r="K63" s="140"/>
      <c r="L63" s="86"/>
    </row>
    <row r="64" spans="1:12" ht="28.8" customHeight="1" x14ac:dyDescent="0.4">
      <c r="A64" s="133">
        <v>6</v>
      </c>
      <c r="B64" s="99" t="str">
        <f t="shared" si="0"/>
        <v xml:space="preserve">الاستاذ </v>
      </c>
      <c r="C64" s="99"/>
      <c r="D64" s="99"/>
      <c r="E64" s="99"/>
      <c r="F64" s="99"/>
      <c r="G64" s="139" t="s">
        <v>29</v>
      </c>
      <c r="H64" s="140"/>
      <c r="I64" s="140"/>
      <c r="J64" s="140"/>
      <c r="K64" s="140"/>
      <c r="L64" s="86"/>
    </row>
    <row r="65" spans="1:12" ht="28.8" customHeight="1" x14ac:dyDescent="0.4">
      <c r="A65" s="133">
        <v>7</v>
      </c>
      <c r="B65" s="99" t="str">
        <f t="shared" si="0"/>
        <v xml:space="preserve">الاستاذ </v>
      </c>
      <c r="C65" s="99"/>
      <c r="D65" s="99"/>
      <c r="E65" s="99"/>
      <c r="F65" s="99"/>
      <c r="G65" s="139" t="s">
        <v>29</v>
      </c>
      <c r="H65" s="140"/>
      <c r="I65" s="140"/>
      <c r="J65" s="140"/>
      <c r="K65" s="140"/>
      <c r="L65" s="86"/>
    </row>
    <row r="66" spans="1:12" ht="28.8" customHeight="1" x14ac:dyDescent="0.4">
      <c r="A66" s="133">
        <v>8</v>
      </c>
      <c r="B66" s="99" t="str">
        <f t="shared" si="0"/>
        <v xml:space="preserve">الاستاذ </v>
      </c>
      <c r="C66" s="99"/>
      <c r="D66" s="99"/>
      <c r="E66" s="99"/>
      <c r="F66" s="99"/>
      <c r="G66" s="139" t="s">
        <v>29</v>
      </c>
      <c r="H66" s="140"/>
      <c r="I66" s="140"/>
      <c r="J66" s="140"/>
      <c r="K66" s="140"/>
      <c r="L66" s="86"/>
    </row>
    <row r="67" spans="1:12" ht="28.8" customHeight="1" x14ac:dyDescent="0.4">
      <c r="A67" s="133">
        <v>9</v>
      </c>
      <c r="B67" s="99" t="str">
        <f t="shared" si="0"/>
        <v xml:space="preserve">الاستاذ </v>
      </c>
      <c r="C67" s="99"/>
      <c r="D67" s="99"/>
      <c r="E67" s="99"/>
      <c r="F67" s="99"/>
      <c r="G67" s="139" t="s">
        <v>29</v>
      </c>
      <c r="H67" s="140"/>
      <c r="I67" s="140"/>
      <c r="J67" s="140"/>
      <c r="K67" s="140"/>
      <c r="L67" s="86"/>
    </row>
    <row r="68" spans="1:12" ht="28.8" customHeight="1" x14ac:dyDescent="0.4">
      <c r="A68" s="133">
        <v>10</v>
      </c>
      <c r="B68" s="99" t="str">
        <f t="shared" si="0"/>
        <v xml:space="preserve">الاستاذ </v>
      </c>
      <c r="C68" s="85"/>
      <c r="D68" s="85"/>
      <c r="E68" s="85"/>
      <c r="F68" s="85"/>
      <c r="G68" s="139" t="s">
        <v>29</v>
      </c>
      <c r="H68" s="140"/>
      <c r="I68" s="140"/>
      <c r="J68" s="140"/>
      <c r="K68" s="140"/>
      <c r="L68" s="86"/>
    </row>
    <row r="69" spans="1:12" ht="59.25" customHeight="1" x14ac:dyDescent="0.25">
      <c r="A69" s="84"/>
      <c r="B69" s="128"/>
      <c r="C69" s="128"/>
      <c r="D69" s="128"/>
      <c r="E69" s="128"/>
      <c r="F69" s="128"/>
      <c r="G69" s="128"/>
      <c r="H69" s="128"/>
      <c r="I69" s="128"/>
      <c r="J69" s="128"/>
      <c r="K69" s="128"/>
      <c r="L69" s="86"/>
    </row>
    <row r="70" spans="1:12" ht="35.25" customHeight="1" thickBot="1" x14ac:dyDescent="0.45">
      <c r="A70" s="120"/>
      <c r="B70" s="121"/>
      <c r="C70" s="157" t="s">
        <v>30</v>
      </c>
      <c r="D70" s="157"/>
      <c r="E70" s="157"/>
      <c r="F70" s="157"/>
      <c r="G70" s="157"/>
      <c r="H70" s="157"/>
      <c r="I70" s="157"/>
      <c r="J70" s="157"/>
      <c r="K70" s="121"/>
      <c r="L70" s="129"/>
    </row>
  </sheetData>
  <sheetProtection selectLockedCells="1"/>
  <mergeCells count="40">
    <mergeCell ref="D38:J38"/>
    <mergeCell ref="D39:J39"/>
    <mergeCell ref="C40:J40"/>
    <mergeCell ref="C42:J42"/>
    <mergeCell ref="C70:J70"/>
    <mergeCell ref="G59:K59"/>
    <mergeCell ref="G60:K60"/>
    <mergeCell ref="G61:K61"/>
    <mergeCell ref="G62:K62"/>
    <mergeCell ref="G63:K63"/>
    <mergeCell ref="G64:K64"/>
    <mergeCell ref="G65:K65"/>
    <mergeCell ref="B58:C58"/>
    <mergeCell ref="G58:K58"/>
    <mergeCell ref="G68:K68"/>
    <mergeCell ref="G66:K66"/>
    <mergeCell ref="D37:J37"/>
    <mergeCell ref="D29:I29"/>
    <mergeCell ref="C30:I30"/>
    <mergeCell ref="D32:J32"/>
    <mergeCell ref="F17:J17"/>
    <mergeCell ref="D33:J33"/>
    <mergeCell ref="D35:J35"/>
    <mergeCell ref="D36:J36"/>
    <mergeCell ref="G67:K67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  <mergeCell ref="F18:J18"/>
    <mergeCell ref="F19:J19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72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4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4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4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4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4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4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4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4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  <c r="N8" s="138"/>
    </row>
    <row r="9" spans="1:14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4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8"/>
      <c r="F10" s="44" t="s">
        <v>25</v>
      </c>
      <c r="G10" s="44"/>
      <c r="H10" s="44"/>
      <c r="I10" s="44"/>
      <c r="J10" s="44"/>
      <c r="K10" s="45"/>
      <c r="L10" s="43"/>
    </row>
    <row r="11" spans="1:14" s="1" customFormat="1" ht="28.2" customHeight="1" x14ac:dyDescent="0.4">
      <c r="A11" s="69"/>
      <c r="B11" s="6" t="str">
        <f>IFERROR(VLOOKUP(A11,Table1[#All],2,0),"")</f>
        <v/>
      </c>
      <c r="C11" s="6"/>
      <c r="D11" s="6"/>
      <c r="E11" s="7"/>
      <c r="F11" s="159" t="str">
        <f t="shared" ref="F11:F12" si="0">IFERROR(VLOOKUP(A11,الاعضاء,3,0),"")</f>
        <v/>
      </c>
      <c r="G11" s="159"/>
      <c r="H11" s="159"/>
      <c r="I11" s="159"/>
      <c r="J11" s="159"/>
      <c r="K11" s="50" t="s">
        <v>32</v>
      </c>
      <c r="L11" s="15"/>
    </row>
    <row r="12" spans="1:14" s="1" customFormat="1" ht="28.2" customHeight="1" x14ac:dyDescent="0.4">
      <c r="A12" s="69"/>
      <c r="B12" s="6" t="str">
        <f>IFERROR(VLOOKUP(A12,Table1[#All],2,0),"")</f>
        <v/>
      </c>
      <c r="C12" s="6"/>
      <c r="D12" s="6"/>
      <c r="E12" s="7"/>
      <c r="F12" s="159" t="str">
        <f t="shared" si="0"/>
        <v/>
      </c>
      <c r="G12" s="159"/>
      <c r="H12" s="159"/>
      <c r="I12" s="159"/>
      <c r="J12" s="159"/>
      <c r="K12" s="50" t="s">
        <v>32</v>
      </c>
      <c r="L12" s="15"/>
    </row>
    <row r="13" spans="1:14" s="1" customFormat="1" ht="28.2" customHeight="1" x14ac:dyDescent="0.4">
      <c r="A13" s="69"/>
      <c r="B13" s="6" t="str">
        <f>IFERROR(VLOOKUP(A13,Table1[#All],2,0),"")</f>
        <v/>
      </c>
      <c r="C13" s="6"/>
      <c r="D13" s="6"/>
      <c r="E13" s="7"/>
      <c r="F13" s="159" t="str">
        <f t="shared" ref="F13:F20" si="1">IFERROR(VLOOKUP(A13,الاعضاء,3,0),"")</f>
        <v/>
      </c>
      <c r="G13" s="159"/>
      <c r="H13" s="159"/>
      <c r="I13" s="159"/>
      <c r="J13" s="159"/>
      <c r="K13" s="50" t="s">
        <v>32</v>
      </c>
      <c r="L13" s="15"/>
    </row>
    <row r="14" spans="1:14" s="1" customFormat="1" ht="28.2" customHeight="1" x14ac:dyDescent="0.4">
      <c r="A14" s="69"/>
      <c r="B14" s="6" t="str">
        <f>IFERROR(VLOOKUP(A14,Table1[#All],2,0),"")</f>
        <v/>
      </c>
      <c r="C14" s="6"/>
      <c r="D14" s="6"/>
      <c r="E14" s="7"/>
      <c r="F14" s="159" t="str">
        <f t="shared" si="1"/>
        <v/>
      </c>
      <c r="G14" s="159"/>
      <c r="H14" s="159"/>
      <c r="I14" s="159"/>
      <c r="J14" s="159"/>
      <c r="K14" s="50" t="s">
        <v>32</v>
      </c>
      <c r="L14" s="15"/>
    </row>
    <row r="15" spans="1:14" s="1" customFormat="1" ht="28.2" customHeight="1" x14ac:dyDescent="0.4">
      <c r="A15" s="69"/>
      <c r="B15" s="6" t="str">
        <f>IFERROR(VLOOKUP(A15,Table1[#All],2,0),"")</f>
        <v/>
      </c>
      <c r="C15" s="6"/>
      <c r="D15" s="6"/>
      <c r="E15" s="7"/>
      <c r="F15" s="159" t="str">
        <f t="shared" si="1"/>
        <v/>
      </c>
      <c r="G15" s="159"/>
      <c r="H15" s="159"/>
      <c r="I15" s="159"/>
      <c r="J15" s="159"/>
      <c r="K15" s="50" t="s">
        <v>32</v>
      </c>
      <c r="L15" s="15"/>
    </row>
    <row r="16" spans="1:14" s="1" customFormat="1" ht="28.2" customHeight="1" x14ac:dyDescent="0.4">
      <c r="A16" s="69"/>
      <c r="B16" s="6" t="str">
        <f>IFERROR(VLOOKUP(A16,Table1[#All],2,0),"")</f>
        <v/>
      </c>
      <c r="C16" s="6"/>
      <c r="D16" s="6"/>
      <c r="E16" s="7"/>
      <c r="F16" s="159" t="str">
        <f t="shared" si="1"/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69"/>
      <c r="B17" s="6" t="str">
        <f>IFERROR(VLOOKUP(A17,Table1[#All],2,0),"")</f>
        <v/>
      </c>
      <c r="C17" s="6"/>
      <c r="D17" s="6"/>
      <c r="E17" s="7"/>
      <c r="F17" s="159" t="str">
        <f t="shared" si="1"/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69"/>
      <c r="B18" s="6" t="str">
        <f>IFERROR(VLOOKUP(A18,Table1[#All],2,0),"")</f>
        <v/>
      </c>
      <c r="C18" s="6"/>
      <c r="D18" s="6"/>
      <c r="E18" s="7"/>
      <c r="F18" s="159" t="str">
        <f t="shared" ref="F18" si="2">IFERROR(VLOOKUP(A18,الاعضاء,3,0),"")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69"/>
      <c r="B19" s="6" t="str">
        <f>IFERROR(VLOOKUP(A19,Table1[#All],2,0),"")</f>
        <v/>
      </c>
      <c r="C19" s="6"/>
      <c r="D19" s="6"/>
      <c r="E19" s="7"/>
      <c r="F19" s="159" t="str">
        <f t="shared" ref="F19" si="3">IFERROR(VLOOKUP(A19,الاعضاء,3,0),"")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69"/>
      <c r="B20" s="6" t="str">
        <f>IFERROR(VLOOKUP(A20,Table1[#All],2,0),"")</f>
        <v/>
      </c>
      <c r="C20" s="6"/>
      <c r="D20" s="6"/>
      <c r="E20" s="7"/>
      <c r="F20" s="159" t="str">
        <f t="shared" si="1"/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79" t="s">
        <v>35</v>
      </c>
      <c r="C21" s="179"/>
      <c r="D21" s="179"/>
      <c r="E21" s="179"/>
      <c r="F21" s="179"/>
      <c r="G21" s="179"/>
      <c r="H21" s="179"/>
      <c r="I21" s="55" t="s">
        <v>36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2"/>
      <c r="G22" s="64" t="s">
        <v>2</v>
      </c>
      <c r="H22" s="63"/>
      <c r="I22" s="72"/>
      <c r="J22" s="180" t="str">
        <f>NoToTxt(I22,"جنيها","قرش")&amp;" لاغير"</f>
        <v>صفر لاغير</v>
      </c>
      <c r="K22" s="180"/>
      <c r="L22" s="18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24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4" t="s">
        <v>89</v>
      </c>
      <c r="E26" s="164"/>
      <c r="F26" s="164"/>
      <c r="G26" s="164"/>
      <c r="H26" s="164"/>
      <c r="I26" s="164"/>
      <c r="J26" s="75"/>
      <c r="K26" s="77"/>
      <c r="L26" s="16"/>
      <c r="M26" s="2"/>
    </row>
    <row r="27" spans="1:13" ht="28.8" customHeight="1" x14ac:dyDescent="0.4">
      <c r="A27" s="12"/>
      <c r="B27" s="8"/>
      <c r="C27" s="26">
        <v>1</v>
      </c>
      <c r="D27" s="164" t="s">
        <v>90</v>
      </c>
      <c r="E27" s="164"/>
      <c r="F27" s="164"/>
      <c r="G27" s="164"/>
      <c r="H27" s="164"/>
      <c r="I27" s="164"/>
      <c r="J27" s="75"/>
      <c r="K27" s="77"/>
      <c r="L27" s="16"/>
      <c r="M27" s="2"/>
    </row>
    <row r="28" spans="1:13" ht="28.8" customHeight="1" x14ac:dyDescent="0.4">
      <c r="A28" s="12"/>
      <c r="B28" s="8"/>
      <c r="C28" s="26">
        <v>1</v>
      </c>
      <c r="D28" s="172" t="s">
        <v>100</v>
      </c>
      <c r="E28" s="173"/>
      <c r="F28" s="173"/>
      <c r="G28" s="173"/>
      <c r="H28" s="173"/>
      <c r="I28" s="174"/>
      <c r="J28" s="75"/>
      <c r="K28" s="77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77" t="s">
        <v>7</v>
      </c>
      <c r="E29" s="178"/>
      <c r="F29" s="178"/>
      <c r="G29" s="178"/>
      <c r="H29" s="178"/>
      <c r="I29" s="178"/>
      <c r="J29" s="75" t="s">
        <v>23</v>
      </c>
      <c r="K29" s="76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77" t="s">
        <v>8</v>
      </c>
      <c r="E30" s="178"/>
      <c r="F30" s="178"/>
      <c r="G30" s="178"/>
      <c r="H30" s="178"/>
      <c r="I30" s="178"/>
      <c r="J30" s="75" t="s">
        <v>23</v>
      </c>
      <c r="K30" s="76" t="s">
        <v>23</v>
      </c>
      <c r="L30" s="16"/>
      <c r="M30" s="2"/>
    </row>
    <row r="31" spans="1:13" ht="30.75" customHeight="1" thickBot="1" x14ac:dyDescent="0.45">
      <c r="A31" s="12"/>
      <c r="B31" s="8"/>
      <c r="C31" s="162" t="s">
        <v>9</v>
      </c>
      <c r="D31" s="163"/>
      <c r="E31" s="163"/>
      <c r="F31" s="163"/>
      <c r="G31" s="163"/>
      <c r="H31" s="163"/>
      <c r="I31" s="163"/>
      <c r="J31" s="75">
        <f>J26+J27+J28</f>
        <v>0</v>
      </c>
      <c r="K31" s="77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7" t="s">
        <v>17</v>
      </c>
      <c r="E34" s="167"/>
      <c r="F34" s="167"/>
      <c r="G34" s="167"/>
      <c r="H34" s="167"/>
      <c r="I34" s="167"/>
      <c r="J34" s="167"/>
      <c r="K34" s="77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/>
      <c r="L35" s="16"/>
      <c r="M35" s="2"/>
    </row>
    <row r="36" spans="1:13" ht="30.75" customHeight="1" x14ac:dyDescent="0.4">
      <c r="A36" s="12"/>
      <c r="B36" s="8"/>
      <c r="C36" s="26">
        <v>3</v>
      </c>
      <c r="D36" s="167" t="s">
        <v>19</v>
      </c>
      <c r="E36" s="167"/>
      <c r="F36" s="167"/>
      <c r="G36" s="168"/>
      <c r="H36" s="167"/>
      <c r="I36" s="167"/>
      <c r="J36" s="167"/>
      <c r="K36" s="77"/>
      <c r="L36" s="16"/>
      <c r="M36" s="2"/>
    </row>
    <row r="37" spans="1:13" ht="30.75" customHeight="1" x14ac:dyDescent="0.4">
      <c r="A37" s="12"/>
      <c r="B37" s="8"/>
      <c r="C37" s="34">
        <v>4</v>
      </c>
      <c r="D37" s="169" t="s">
        <v>98</v>
      </c>
      <c r="E37" s="170"/>
      <c r="F37" s="170"/>
      <c r="G37" s="170"/>
      <c r="H37" s="170"/>
      <c r="I37" s="170"/>
      <c r="J37" s="171"/>
      <c r="K37" s="78"/>
      <c r="L37" s="16"/>
      <c r="M37" s="2"/>
    </row>
    <row r="38" spans="1:13" ht="30" customHeight="1" x14ac:dyDescent="0.4">
      <c r="A38" s="12"/>
      <c r="B38" s="8"/>
      <c r="C38" s="26">
        <v>5</v>
      </c>
      <c r="D38" s="167" t="s">
        <v>11</v>
      </c>
      <c r="E38" s="167"/>
      <c r="F38" s="167"/>
      <c r="G38" s="167"/>
      <c r="H38" s="167"/>
      <c r="I38" s="167"/>
      <c r="J38" s="167"/>
      <c r="K38" s="77"/>
      <c r="L38" s="16"/>
      <c r="M38" s="2"/>
    </row>
    <row r="39" spans="1:13" ht="30" customHeight="1" x14ac:dyDescent="0.4">
      <c r="A39" s="12"/>
      <c r="B39" s="8"/>
      <c r="C39" s="34">
        <v>6</v>
      </c>
      <c r="D39" s="169" t="s">
        <v>21</v>
      </c>
      <c r="E39" s="170"/>
      <c r="F39" s="170"/>
      <c r="G39" s="170"/>
      <c r="H39" s="170"/>
      <c r="I39" s="170"/>
      <c r="J39" s="171"/>
      <c r="K39" s="79"/>
      <c r="L39" s="16"/>
      <c r="M39" s="2"/>
    </row>
    <row r="40" spans="1:13" ht="30.75" customHeight="1" thickBot="1" x14ac:dyDescent="0.45">
      <c r="A40" s="12"/>
      <c r="B40" s="8"/>
      <c r="C40" s="162" t="s">
        <v>12</v>
      </c>
      <c r="D40" s="163"/>
      <c r="E40" s="163"/>
      <c r="F40" s="163"/>
      <c r="G40" s="163"/>
      <c r="H40" s="163"/>
      <c r="I40" s="163"/>
      <c r="J40" s="163"/>
      <c r="K40" s="116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5" t="s">
        <v>30</v>
      </c>
      <c r="D42" s="165"/>
      <c r="E42" s="165"/>
      <c r="F42" s="165"/>
      <c r="G42" s="165"/>
      <c r="H42" s="165"/>
      <c r="I42" s="165"/>
      <c r="J42" s="165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8" customHeight="1" x14ac:dyDescent="0.4">
      <c r="A58" s="12"/>
      <c r="B58" s="179" t="s">
        <v>15</v>
      </c>
      <c r="C58" s="179"/>
      <c r="D58" s="22"/>
      <c r="E58" s="22"/>
      <c r="F58" s="22"/>
      <c r="G58" s="179" t="s">
        <v>16</v>
      </c>
      <c r="H58" s="179"/>
      <c r="I58" s="179"/>
      <c r="J58" s="179"/>
      <c r="K58" s="179"/>
      <c r="L58" s="13"/>
    </row>
    <row r="59" spans="1:12" ht="28.8" customHeight="1" x14ac:dyDescent="0.4">
      <c r="A59" s="133">
        <v>1</v>
      </c>
      <c r="B59" s="22" t="str">
        <f t="shared" ref="B59:B68" si="4">"الاستاذ "&amp;B11</f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8" customHeight="1" x14ac:dyDescent="0.4">
      <c r="A60" s="133">
        <v>2</v>
      </c>
      <c r="B60" s="22" t="str">
        <f t="shared" si="4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8" customHeight="1" x14ac:dyDescent="0.4">
      <c r="A61" s="133">
        <v>3</v>
      </c>
      <c r="B61" s="22" t="str">
        <f t="shared" si="4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8" customHeight="1" x14ac:dyDescent="0.4">
      <c r="A62" s="133">
        <v>4</v>
      </c>
      <c r="B62" s="22" t="str">
        <f t="shared" si="4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8" customHeight="1" x14ac:dyDescent="0.4">
      <c r="A63" s="133">
        <v>5</v>
      </c>
      <c r="B63" s="22" t="str">
        <f t="shared" si="4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8" customHeight="1" x14ac:dyDescent="0.4">
      <c r="A64" s="133">
        <v>6</v>
      </c>
      <c r="B64" s="22" t="str">
        <f t="shared" si="4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8" customHeight="1" x14ac:dyDescent="0.4">
      <c r="A65" s="133">
        <v>7</v>
      </c>
      <c r="B65" s="22" t="str">
        <f t="shared" si="4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8" customHeight="1" x14ac:dyDescent="0.4">
      <c r="A66" s="133">
        <v>8</v>
      </c>
      <c r="B66" s="22" t="str">
        <f t="shared" si="4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8" customHeight="1" x14ac:dyDescent="0.4">
      <c r="A67" s="133">
        <v>9</v>
      </c>
      <c r="B67" s="22" t="str">
        <f t="shared" si="4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31.8" customHeight="1" x14ac:dyDescent="0.4">
      <c r="A68" s="133">
        <v>10</v>
      </c>
      <c r="B68" s="22" t="str">
        <f t="shared" si="4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65" t="s">
        <v>30</v>
      </c>
      <c r="D72" s="165"/>
      <c r="E72" s="165"/>
      <c r="F72" s="165"/>
      <c r="G72" s="165"/>
      <c r="H72" s="165"/>
      <c r="I72" s="165"/>
      <c r="J72" s="165"/>
      <c r="K72" s="20"/>
      <c r="L72" s="30"/>
    </row>
  </sheetData>
  <sheetProtection selectLockedCells="1"/>
  <mergeCells count="41">
    <mergeCell ref="C72:J72"/>
    <mergeCell ref="B58:C58"/>
    <mergeCell ref="G58:K58"/>
    <mergeCell ref="G59:K59"/>
    <mergeCell ref="G68:K68"/>
    <mergeCell ref="G60:K60"/>
    <mergeCell ref="G61:K61"/>
    <mergeCell ref="G62:K62"/>
    <mergeCell ref="G63:K63"/>
    <mergeCell ref="G64:K64"/>
    <mergeCell ref="G65:K65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G66:K66"/>
    <mergeCell ref="G67:K67"/>
    <mergeCell ref="C31:I31"/>
    <mergeCell ref="D27:I27"/>
    <mergeCell ref="C42:J42"/>
    <mergeCell ref="D33:J33"/>
    <mergeCell ref="D34:J34"/>
    <mergeCell ref="D38:J38"/>
    <mergeCell ref="C40:J40"/>
    <mergeCell ref="D36:J36"/>
    <mergeCell ref="D39:J39"/>
    <mergeCell ref="D37:J37"/>
    <mergeCell ref="D28:I28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M71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8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9"/>
      <c r="B11" s="6" t="str">
        <f>IFERROR(VLOOKUP(A11,Table1[#All],2,0),"")</f>
        <v/>
      </c>
      <c r="C11" s="6"/>
      <c r="D11" s="6"/>
      <c r="E11" s="7"/>
      <c r="F11" s="186" t="str">
        <f>IFERROR(VLOOKUP(A11,DATA!B3:D21,3,0),"")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69"/>
      <c r="B12" s="6" t="str">
        <f>IFERROR(VLOOKUP(A12,Table1[#All],2,0),"")</f>
        <v/>
      </c>
      <c r="C12" s="6"/>
      <c r="D12" s="6"/>
      <c r="E12" s="7"/>
      <c r="F12" s="159" t="str">
        <f>IFERROR(VLOOKUP(A12,DATA!B3:D22,3,0),"")</f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69"/>
      <c r="B13" s="6" t="str">
        <f>IFERROR(VLOOKUP(A13,Table1[#All],2,0),"")</f>
        <v/>
      </c>
      <c r="C13" s="6"/>
      <c r="D13" s="6"/>
      <c r="E13" s="7"/>
      <c r="F13" s="159" t="str">
        <f>IFERROR(VLOOKUP(A13,DATA!B3:D23,3,0),"")</f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69"/>
      <c r="B14" s="6" t="str">
        <f>IFERROR(VLOOKUP(A14,Table1[#All],2,0),"")</f>
        <v/>
      </c>
      <c r="C14" s="6"/>
      <c r="D14" s="6"/>
      <c r="E14" s="7"/>
      <c r="F14" s="159" t="str">
        <f>IFERROR(VLOOKUP(A14,DATA!B4:D24,3,0),"")</f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69"/>
      <c r="B15" s="6" t="str">
        <f>IFERROR(VLOOKUP(A15,Table1[#All],2,0),"")</f>
        <v/>
      </c>
      <c r="C15" s="6"/>
      <c r="D15" s="6"/>
      <c r="E15" s="7"/>
      <c r="F15" s="159" t="str">
        <f>IFERROR(VLOOKUP(A15,DATA!B5:D25,3,0),"")</f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69"/>
      <c r="B16" s="6" t="str">
        <f>IFERROR(VLOOKUP(A16,Table1[#All],2,0),"")</f>
        <v/>
      </c>
      <c r="C16" s="6"/>
      <c r="D16" s="6"/>
      <c r="E16" s="7"/>
      <c r="F16" s="159" t="str">
        <f>IFERROR(VLOOKUP(A16,DATA!B5:D26,3,0),"")</f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69"/>
      <c r="B17" s="6" t="str">
        <f>IFERROR(VLOOKUP(A17,Table1[#All],2,0),"")</f>
        <v/>
      </c>
      <c r="C17" s="6"/>
      <c r="D17" s="6"/>
      <c r="E17" s="7"/>
      <c r="F17" s="159" t="str">
        <f>IFERROR(VLOOKUP(A17,DATA!B6:D27,3,0),"")</f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69"/>
      <c r="B18" s="6" t="str">
        <f>IFERROR(VLOOKUP(A18,Table1[#All],2,0),"")</f>
        <v/>
      </c>
      <c r="C18" s="6"/>
      <c r="D18" s="6"/>
      <c r="E18" s="7"/>
      <c r="F18" s="159" t="str">
        <f>IFERROR(VLOOKUP(A18,DATA!B7:D28,3,0),"")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69"/>
      <c r="B19" s="6" t="str">
        <f>IFERROR(VLOOKUP(A19,Table1[#All],2,0),"")</f>
        <v/>
      </c>
      <c r="C19" s="6"/>
      <c r="D19" s="6"/>
      <c r="E19" s="7"/>
      <c r="F19" s="159" t="str">
        <f>IFERROR(VLOOKUP(A19,DATA!B8:D29,3,0),"")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69"/>
      <c r="B20" s="6" t="str">
        <f>IFERROR(VLOOKUP(A20,Table1[#All],2,0),"")</f>
        <v/>
      </c>
      <c r="C20" s="6"/>
      <c r="D20" s="6"/>
      <c r="E20" s="7"/>
      <c r="F20" s="159" t="str">
        <f>IFERROR(VLOOKUP(A20,DATA!B7:D28,3,0),"")</f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85" t="s">
        <v>35</v>
      </c>
      <c r="C21" s="185"/>
      <c r="D21" s="185"/>
      <c r="E21" s="185"/>
      <c r="F21" s="185"/>
      <c r="G21" s="185"/>
      <c r="H21" s="185"/>
      <c r="I21" s="55" t="s">
        <v>50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1"/>
      <c r="G22" s="64" t="s">
        <v>2</v>
      </c>
      <c r="H22" s="63"/>
      <c r="I22" s="72"/>
      <c r="J22" s="180" t="str">
        <f>NoToTxt(I22,"جنيها","قرش")&amp;" لاغير"</f>
        <v>صفر لاغير</v>
      </c>
      <c r="K22" s="180"/>
      <c r="L22" s="18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59" t="s">
        <v>5</v>
      </c>
      <c r="K25" s="25" t="s">
        <v>4</v>
      </c>
      <c r="L25" s="17"/>
      <c r="M25" s="2"/>
    </row>
    <row r="26" spans="1:13" ht="28.8" hidden="1" customHeight="1" x14ac:dyDescent="0.4">
      <c r="A26" s="12"/>
      <c r="B26" s="8"/>
      <c r="C26" s="26">
        <v>1</v>
      </c>
      <c r="D26" s="164" t="s">
        <v>85</v>
      </c>
      <c r="E26" s="164"/>
      <c r="F26" s="164"/>
      <c r="G26" s="164"/>
      <c r="H26" s="164"/>
      <c r="I26" s="164"/>
      <c r="J26" s="73"/>
      <c r="K26" s="74"/>
      <c r="L26" s="16"/>
      <c r="M26" s="2"/>
    </row>
    <row r="27" spans="1:13" ht="28.8" hidden="1" customHeight="1" x14ac:dyDescent="0.4">
      <c r="A27" s="12"/>
      <c r="B27" s="8"/>
      <c r="C27" s="26">
        <v>1</v>
      </c>
      <c r="D27" s="164" t="s">
        <v>86</v>
      </c>
      <c r="E27" s="164"/>
      <c r="F27" s="164"/>
      <c r="G27" s="164"/>
      <c r="H27" s="164"/>
      <c r="I27" s="164"/>
      <c r="J27" s="73"/>
      <c r="K27" s="74"/>
      <c r="L27" s="16"/>
      <c r="M27" s="2"/>
    </row>
    <row r="28" spans="1:13" ht="28.8" customHeight="1" x14ac:dyDescent="0.4">
      <c r="A28" s="12"/>
      <c r="B28" s="8"/>
      <c r="C28" s="26">
        <v>2</v>
      </c>
      <c r="D28" s="182" t="s">
        <v>87</v>
      </c>
      <c r="E28" s="183"/>
      <c r="F28" s="183"/>
      <c r="G28" s="183"/>
      <c r="H28" s="183"/>
      <c r="I28" s="184"/>
      <c r="J28" s="75"/>
      <c r="K28" s="77"/>
      <c r="L28" s="16"/>
      <c r="M28" s="2"/>
    </row>
    <row r="29" spans="1:13" ht="30.75" customHeight="1" x14ac:dyDescent="0.4">
      <c r="A29" s="12"/>
      <c r="B29" s="8"/>
      <c r="C29" s="26">
        <v>2</v>
      </c>
      <c r="D29" s="177" t="s">
        <v>88</v>
      </c>
      <c r="E29" s="178"/>
      <c r="F29" s="178"/>
      <c r="G29" s="178"/>
      <c r="H29" s="178"/>
      <c r="I29" s="178"/>
      <c r="J29" s="75"/>
      <c r="K29" s="76"/>
      <c r="L29" s="16"/>
      <c r="M29" s="2"/>
    </row>
    <row r="30" spans="1:13" ht="30.75" hidden="1" customHeight="1" x14ac:dyDescent="0.4">
      <c r="A30" s="12"/>
      <c r="B30" s="8"/>
      <c r="C30" s="26"/>
      <c r="D30" s="177"/>
      <c r="E30" s="178"/>
      <c r="F30" s="178"/>
      <c r="G30" s="178"/>
      <c r="H30" s="178"/>
      <c r="I30" s="178"/>
      <c r="J30" s="75"/>
      <c r="K30" s="76"/>
      <c r="L30" s="16"/>
      <c r="M30" s="2"/>
    </row>
    <row r="31" spans="1:13" ht="30.75" customHeight="1" thickBot="1" x14ac:dyDescent="0.45">
      <c r="A31" s="12"/>
      <c r="B31" s="8"/>
      <c r="C31" s="162" t="s">
        <v>9</v>
      </c>
      <c r="D31" s="163"/>
      <c r="E31" s="163"/>
      <c r="F31" s="163"/>
      <c r="G31" s="163"/>
      <c r="H31" s="163"/>
      <c r="I31" s="163"/>
      <c r="J31" s="111">
        <f>SUM(J26:J30)</f>
        <v>0</v>
      </c>
      <c r="K31" s="135">
        <f>SUM(K26:K30)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7" t="s">
        <v>17</v>
      </c>
      <c r="E34" s="167"/>
      <c r="F34" s="167"/>
      <c r="G34" s="167"/>
      <c r="H34" s="167"/>
      <c r="I34" s="167"/>
      <c r="J34" s="167"/>
      <c r="K34" s="77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/>
      <c r="L35" s="16"/>
      <c r="M35" s="2"/>
    </row>
    <row r="36" spans="1:13" ht="30.75" customHeight="1" x14ac:dyDescent="0.4">
      <c r="A36" s="12"/>
      <c r="B36" s="8"/>
      <c r="C36" s="26">
        <v>3</v>
      </c>
      <c r="D36" s="167" t="s">
        <v>19</v>
      </c>
      <c r="E36" s="167"/>
      <c r="F36" s="167"/>
      <c r="G36" s="168"/>
      <c r="H36" s="167"/>
      <c r="I36" s="167"/>
      <c r="J36" s="167"/>
      <c r="K36" s="77"/>
      <c r="L36" s="16"/>
      <c r="M36" s="2"/>
    </row>
    <row r="37" spans="1:13" ht="30.75" customHeight="1" x14ac:dyDescent="0.4">
      <c r="A37" s="12"/>
      <c r="B37" s="8"/>
      <c r="C37" s="34">
        <v>4</v>
      </c>
      <c r="D37" s="169" t="s">
        <v>98</v>
      </c>
      <c r="E37" s="170"/>
      <c r="F37" s="170"/>
      <c r="G37" s="170"/>
      <c r="H37" s="170"/>
      <c r="I37" s="170"/>
      <c r="J37" s="171"/>
      <c r="K37" s="78"/>
      <c r="L37" s="16"/>
      <c r="M37" s="2"/>
    </row>
    <row r="38" spans="1:13" ht="30" customHeight="1" x14ac:dyDescent="0.4">
      <c r="A38" s="12"/>
      <c r="B38" s="8"/>
      <c r="C38" s="26">
        <v>5</v>
      </c>
      <c r="D38" s="167" t="s">
        <v>11</v>
      </c>
      <c r="E38" s="167"/>
      <c r="F38" s="167"/>
      <c r="G38" s="167"/>
      <c r="H38" s="167"/>
      <c r="I38" s="167"/>
      <c r="J38" s="167"/>
      <c r="K38" s="77"/>
      <c r="L38" s="16"/>
      <c r="M38" s="2"/>
    </row>
    <row r="39" spans="1:13" ht="30" customHeight="1" x14ac:dyDescent="0.4">
      <c r="A39" s="12"/>
      <c r="B39" s="8"/>
      <c r="C39" s="34">
        <v>6</v>
      </c>
      <c r="D39" s="169" t="s">
        <v>21</v>
      </c>
      <c r="E39" s="170"/>
      <c r="F39" s="170"/>
      <c r="G39" s="170"/>
      <c r="H39" s="170"/>
      <c r="I39" s="170"/>
      <c r="J39" s="171"/>
      <c r="K39" s="79"/>
      <c r="L39" s="16"/>
      <c r="M39" s="2"/>
    </row>
    <row r="40" spans="1:13" ht="30.75" customHeight="1" thickBot="1" x14ac:dyDescent="0.45">
      <c r="A40" s="12"/>
      <c r="B40" s="8"/>
      <c r="C40" s="162" t="s">
        <v>12</v>
      </c>
      <c r="D40" s="163"/>
      <c r="E40" s="163"/>
      <c r="F40" s="163"/>
      <c r="G40" s="163"/>
      <c r="H40" s="163"/>
      <c r="I40" s="163"/>
      <c r="J40" s="163"/>
      <c r="K40" s="116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5" t="s">
        <v>30</v>
      </c>
      <c r="D42" s="165"/>
      <c r="E42" s="165"/>
      <c r="F42" s="165"/>
      <c r="G42" s="165"/>
      <c r="H42" s="165"/>
      <c r="I42" s="165"/>
      <c r="J42" s="165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25">
      <c r="A54" s="12"/>
      <c r="B54" s="187" t="s">
        <v>84</v>
      </c>
      <c r="C54" s="187"/>
      <c r="D54" s="187"/>
      <c r="E54" s="187"/>
      <c r="F54" s="187"/>
      <c r="G54" s="187"/>
      <c r="H54" s="187"/>
      <c r="I54" s="187"/>
      <c r="J54" s="187"/>
      <c r="K54" s="187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42.75" customHeight="1" x14ac:dyDescent="0.4">
      <c r="A58" s="12"/>
      <c r="B58" s="179" t="s">
        <v>15</v>
      </c>
      <c r="C58" s="179"/>
      <c r="D58" s="22"/>
      <c r="E58" s="22"/>
      <c r="F58" s="22"/>
      <c r="G58" s="179" t="s">
        <v>16</v>
      </c>
      <c r="H58" s="179"/>
      <c r="I58" s="179"/>
      <c r="J58" s="179"/>
      <c r="K58" s="179"/>
      <c r="L58" s="13"/>
    </row>
    <row r="59" spans="1:12" ht="28.8" customHeight="1" x14ac:dyDescent="0.4">
      <c r="A59" s="133">
        <v>1</v>
      </c>
      <c r="B59" s="22" t="str">
        <f t="shared" ref="B59:B68" si="0">"الاستاذ "&amp;B11</f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8" customHeight="1" x14ac:dyDescent="0.4">
      <c r="A60" s="133">
        <v>2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8" customHeight="1" x14ac:dyDescent="0.4">
      <c r="A61" s="133">
        <v>3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8" customHeight="1" x14ac:dyDescent="0.4">
      <c r="A62" s="133">
        <v>4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8" customHeight="1" x14ac:dyDescent="0.4">
      <c r="A63" s="133">
        <v>5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8" customHeight="1" x14ac:dyDescent="0.4">
      <c r="A64" s="133">
        <v>6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8" customHeight="1" x14ac:dyDescent="0.4">
      <c r="A65" s="133">
        <v>7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8" customHeight="1" x14ac:dyDescent="0.4">
      <c r="A66" s="133">
        <v>8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8" customHeight="1" x14ac:dyDescent="0.4">
      <c r="A67" s="133">
        <v>9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8.8" customHeight="1" x14ac:dyDescent="0.4">
      <c r="A68" s="133">
        <v>10</v>
      </c>
      <c r="B68" s="22" t="str">
        <f t="shared" si="0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65" t="s">
        <v>30</v>
      </c>
      <c r="D71" s="165"/>
      <c r="E71" s="165"/>
      <c r="F71" s="165"/>
      <c r="G71" s="165"/>
      <c r="H71" s="165"/>
      <c r="I71" s="165"/>
      <c r="J71" s="165"/>
      <c r="K71" s="20"/>
      <c r="L71" s="30"/>
    </row>
  </sheetData>
  <mergeCells count="42">
    <mergeCell ref="G65:K65"/>
    <mergeCell ref="G66:K66"/>
    <mergeCell ref="C71:J71"/>
    <mergeCell ref="G59:K59"/>
    <mergeCell ref="G60:K60"/>
    <mergeCell ref="G61:K61"/>
    <mergeCell ref="G62:K62"/>
    <mergeCell ref="G63:K63"/>
    <mergeCell ref="G64:K64"/>
    <mergeCell ref="G67:K67"/>
    <mergeCell ref="G68:K68"/>
    <mergeCell ref="D38:J38"/>
    <mergeCell ref="D39:J39"/>
    <mergeCell ref="C40:J40"/>
    <mergeCell ref="C42:J42"/>
    <mergeCell ref="B58:C58"/>
    <mergeCell ref="G58:K58"/>
    <mergeCell ref="B54:K54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D28:I28"/>
    <mergeCell ref="D37:J37"/>
    <mergeCell ref="D29:I29"/>
    <mergeCell ref="D30:I30"/>
    <mergeCell ref="C31:I31"/>
    <mergeCell ref="D33:J33"/>
    <mergeCell ref="D34:J34"/>
    <mergeCell ref="D36:J36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/>
      </c>
      <c r="C11" s="6"/>
      <c r="D11" s="6"/>
      <c r="E11" s="7"/>
      <c r="F11" s="186" t="str">
        <f>IFERROR(VLOOKUP(A11,DATA!B3:D21,3,0),"")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/>
      </c>
      <c r="C12" s="6"/>
      <c r="D12" s="6"/>
      <c r="E12" s="7"/>
      <c r="F12" s="159" t="str">
        <f>IFERROR(VLOOKUP(A12,DATA!B3:D22,3,0),"")</f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/>
      </c>
      <c r="C13" s="6"/>
      <c r="D13" s="6"/>
      <c r="E13" s="7"/>
      <c r="F13" s="159" t="str">
        <f>IFERROR(VLOOKUP(A13,DATA!B3:D23,3,0),"")</f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/>
      </c>
      <c r="C14" s="6"/>
      <c r="D14" s="6"/>
      <c r="E14" s="7"/>
      <c r="F14" s="159" t="str">
        <f>IFERROR(VLOOKUP(A14,DATA!B4:D24,3,0),"")</f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/>
      </c>
      <c r="C15" s="6"/>
      <c r="D15" s="6"/>
      <c r="E15" s="7"/>
      <c r="F15" s="159" t="str">
        <f>IFERROR(VLOOKUP(A15,DATA!B5:D25,3,0),"")</f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/>
      </c>
      <c r="C16" s="6"/>
      <c r="D16" s="6"/>
      <c r="E16" s="7"/>
      <c r="F16" s="159" t="str">
        <f>IFERROR(VLOOKUP(A16,DATA!B5:D26,3,0),"")</f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/>
      </c>
      <c r="C17" s="6"/>
      <c r="D17" s="6"/>
      <c r="E17" s="7"/>
      <c r="F17" s="159" t="str">
        <f>IFERROR(VLOOKUP(A17,DATA!B6:D27,3,0),"")</f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/>
      </c>
      <c r="C18" s="6"/>
      <c r="D18" s="6"/>
      <c r="E18" s="7"/>
      <c r="F18" s="159" t="str">
        <f>IFERROR(VLOOKUP(A18,DATA!B7:D28,3,0),"")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/>
      </c>
      <c r="C19" s="6"/>
      <c r="D19" s="6"/>
      <c r="E19" s="7"/>
      <c r="F19" s="159" t="str">
        <f>IFERROR(VLOOKUP(A19,DATA!B8:D29,3,0),"")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/>
      </c>
      <c r="C20" s="6"/>
      <c r="D20" s="6"/>
      <c r="E20" s="7"/>
      <c r="F20" s="159" t="str">
        <f>IFERROR(VLOOKUP(A20,DATA!B7:D28,3,0),"")</f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31" t="s">
        <v>35</v>
      </c>
      <c r="C21" s="130"/>
      <c r="D21" s="130"/>
      <c r="E21" s="130"/>
      <c r="F21" s="192" t="s">
        <v>82</v>
      </c>
      <c r="G21" s="192"/>
      <c r="H21" s="192"/>
      <c r="I21" s="192"/>
      <c r="J21" s="132" t="s">
        <v>27</v>
      </c>
      <c r="K21" s="22"/>
      <c r="L21" s="16"/>
      <c r="M21" s="2"/>
    </row>
    <row r="22" spans="1:13" ht="29.25" customHeight="1" x14ac:dyDescent="0.4">
      <c r="A22" s="12"/>
      <c r="B22" s="64" t="s">
        <v>70</v>
      </c>
      <c r="C22" s="22"/>
      <c r="D22" s="22"/>
      <c r="E22" s="22"/>
      <c r="F22" s="66"/>
      <c r="G22" s="64" t="s">
        <v>2</v>
      </c>
      <c r="H22" s="63"/>
      <c r="I22" s="65"/>
      <c r="J22" s="190" t="str">
        <f>NoToTxt(I22,"جنيها","قرش")&amp;" لاغير"</f>
        <v>صفر لاغير</v>
      </c>
      <c r="K22" s="190"/>
      <c r="L22" s="191"/>
      <c r="M22" s="2"/>
    </row>
    <row r="23" spans="1:13" ht="29.25" customHeight="1" x14ac:dyDescent="0.4">
      <c r="A23" s="12"/>
      <c r="B23" s="64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4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67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4" t="s">
        <v>106</v>
      </c>
      <c r="E26" s="164"/>
      <c r="F26" s="164"/>
      <c r="G26" s="164"/>
      <c r="H26" s="164"/>
      <c r="I26" s="164"/>
      <c r="J26" s="39"/>
      <c r="K26" s="40"/>
      <c r="L26" s="16"/>
      <c r="M26" s="2"/>
    </row>
    <row r="27" spans="1:13" ht="28.8" hidden="1" customHeight="1" x14ac:dyDescent="0.4">
      <c r="A27" s="12"/>
      <c r="B27" s="8"/>
      <c r="C27" s="26">
        <v>2</v>
      </c>
      <c r="D27" s="164" t="s">
        <v>74</v>
      </c>
      <c r="E27" s="164"/>
      <c r="F27" s="164"/>
      <c r="G27" s="164"/>
      <c r="H27" s="164"/>
      <c r="I27" s="164"/>
      <c r="J27" s="39"/>
      <c r="K27" s="40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77" t="s">
        <v>75</v>
      </c>
      <c r="E28" s="178"/>
      <c r="F28" s="178"/>
      <c r="G28" s="178"/>
      <c r="H28" s="178"/>
      <c r="I28" s="178"/>
      <c r="J28" s="39"/>
      <c r="K28" s="56"/>
      <c r="L28" s="16"/>
      <c r="M28" s="2"/>
    </row>
    <row r="29" spans="1:13" ht="30.75" hidden="1" customHeight="1" x14ac:dyDescent="0.4">
      <c r="A29" s="12"/>
      <c r="B29" s="8"/>
      <c r="C29" s="26"/>
      <c r="D29" s="177"/>
      <c r="E29" s="178"/>
      <c r="F29" s="178"/>
      <c r="G29" s="178"/>
      <c r="H29" s="178"/>
      <c r="I29" s="178"/>
      <c r="J29" s="39"/>
      <c r="K29" s="56"/>
      <c r="L29" s="16"/>
      <c r="M29" s="2"/>
    </row>
    <row r="30" spans="1:13" ht="30.75" customHeight="1" thickBot="1" x14ac:dyDescent="0.45">
      <c r="A30" s="12"/>
      <c r="B30" s="8"/>
      <c r="C30" s="162" t="s">
        <v>9</v>
      </c>
      <c r="D30" s="163"/>
      <c r="E30" s="163"/>
      <c r="F30" s="163"/>
      <c r="G30" s="163"/>
      <c r="H30" s="163"/>
      <c r="I30" s="163"/>
      <c r="J30" s="39">
        <f>SUM(J26:J29)</f>
        <v>0</v>
      </c>
      <c r="K30" s="40">
        <f>SUM(K26:K29)</f>
        <v>0</v>
      </c>
      <c r="L30" s="16"/>
      <c r="M30" s="2"/>
    </row>
    <row r="31" spans="1:13" ht="29.25" customHeight="1" thickBot="1" x14ac:dyDescent="0.45">
      <c r="A31" s="12"/>
      <c r="B31" s="64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6" t="s">
        <v>6</v>
      </c>
      <c r="E32" s="166"/>
      <c r="F32" s="166"/>
      <c r="G32" s="166"/>
      <c r="H32" s="166"/>
      <c r="I32" s="166"/>
      <c r="J32" s="166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67" t="s">
        <v>17</v>
      </c>
      <c r="E33" s="167"/>
      <c r="F33" s="167"/>
      <c r="G33" s="167"/>
      <c r="H33" s="167"/>
      <c r="I33" s="167"/>
      <c r="J33" s="167"/>
      <c r="K33" s="40"/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8"/>
      <c r="L34" s="16"/>
      <c r="M34" s="2"/>
    </row>
    <row r="35" spans="1:13" ht="30.75" customHeight="1" x14ac:dyDescent="0.4">
      <c r="A35" s="12"/>
      <c r="B35" s="8"/>
      <c r="C35" s="26">
        <v>3</v>
      </c>
      <c r="D35" s="188" t="s">
        <v>76</v>
      </c>
      <c r="E35" s="188"/>
      <c r="F35" s="188"/>
      <c r="G35" s="189"/>
      <c r="H35" s="188"/>
      <c r="I35" s="188"/>
      <c r="J35" s="188"/>
      <c r="K35" s="40"/>
      <c r="L35" s="16"/>
      <c r="M35" s="2"/>
    </row>
    <row r="36" spans="1:13" ht="30.75" customHeight="1" x14ac:dyDescent="0.4">
      <c r="A36" s="12"/>
      <c r="B36" s="8"/>
      <c r="C36" s="34">
        <v>4</v>
      </c>
      <c r="D36" s="169" t="s">
        <v>98</v>
      </c>
      <c r="E36" s="170"/>
      <c r="F36" s="170"/>
      <c r="G36" s="170"/>
      <c r="H36" s="170"/>
      <c r="I36" s="170"/>
      <c r="J36" s="171"/>
      <c r="K36" s="38"/>
      <c r="L36" s="16"/>
      <c r="M36" s="2"/>
    </row>
    <row r="37" spans="1:13" ht="30" customHeight="1" x14ac:dyDescent="0.4">
      <c r="A37" s="12"/>
      <c r="B37" s="8"/>
      <c r="C37" s="26">
        <v>5</v>
      </c>
      <c r="D37" s="167" t="s">
        <v>11</v>
      </c>
      <c r="E37" s="167"/>
      <c r="F37" s="167"/>
      <c r="G37" s="167"/>
      <c r="H37" s="167"/>
      <c r="I37" s="167"/>
      <c r="J37" s="167"/>
      <c r="K37" s="40"/>
      <c r="L37" s="16"/>
      <c r="M37" s="2"/>
    </row>
    <row r="38" spans="1:13" ht="30" customHeight="1" x14ac:dyDescent="0.4">
      <c r="A38" s="12"/>
      <c r="B38" s="8"/>
      <c r="C38" s="34">
        <v>6</v>
      </c>
      <c r="D38" s="169" t="s">
        <v>21</v>
      </c>
      <c r="E38" s="170"/>
      <c r="F38" s="170"/>
      <c r="G38" s="170"/>
      <c r="H38" s="170"/>
      <c r="I38" s="170"/>
      <c r="J38" s="171"/>
      <c r="K38" s="37"/>
      <c r="L38" s="16"/>
      <c r="M38" s="2"/>
    </row>
    <row r="39" spans="1:13" ht="30.75" customHeight="1" thickBot="1" x14ac:dyDescent="0.45">
      <c r="A39" s="12"/>
      <c r="B39" s="8"/>
      <c r="C39" s="162" t="s">
        <v>12</v>
      </c>
      <c r="D39" s="163"/>
      <c r="E39" s="163"/>
      <c r="F39" s="163"/>
      <c r="G39" s="163"/>
      <c r="H39" s="163"/>
      <c r="I39" s="163"/>
      <c r="J39" s="163"/>
      <c r="K39" s="41">
        <f>SUM(K33:K37)-K38</f>
        <v>0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65" t="s">
        <v>30</v>
      </c>
      <c r="D41" s="165"/>
      <c r="E41" s="165"/>
      <c r="F41" s="165"/>
      <c r="G41" s="165"/>
      <c r="H41" s="165"/>
      <c r="I41" s="165"/>
      <c r="J41" s="165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22" t="s">
        <v>83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35" t="s">
        <v>78</v>
      </c>
      <c r="C53" s="35"/>
      <c r="D53" s="35"/>
      <c r="E53" s="22"/>
      <c r="F53" s="22" t="s">
        <v>81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3">
        <v>2</v>
      </c>
      <c r="B54" s="22" t="s">
        <v>33</v>
      </c>
      <c r="C54" s="36"/>
      <c r="D54" s="36"/>
      <c r="E54" s="22"/>
      <c r="F54" s="46" t="str">
        <f>IFERROR((VLOOKUP(A54,Table1[#All],2,0)),"")</f>
        <v>سامح بلامون عبدالسيد</v>
      </c>
      <c r="G54" s="22"/>
      <c r="H54" s="22"/>
      <c r="I54" s="22"/>
      <c r="J54" s="54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79" t="s">
        <v>15</v>
      </c>
      <c r="C57" s="179"/>
      <c r="D57" s="22"/>
      <c r="E57" s="22"/>
      <c r="F57" s="22"/>
      <c r="G57" s="179" t="s">
        <v>16</v>
      </c>
      <c r="H57" s="179"/>
      <c r="I57" s="179"/>
      <c r="J57" s="179"/>
      <c r="K57" s="179"/>
      <c r="L57" s="13"/>
    </row>
    <row r="58" spans="1:12" ht="28.8" customHeight="1" x14ac:dyDescent="0.4">
      <c r="A58" s="133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8" customHeight="1" x14ac:dyDescent="0.4">
      <c r="A59" s="133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8" customHeight="1" x14ac:dyDescent="0.4">
      <c r="A60" s="133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8" customHeight="1" x14ac:dyDescent="0.4">
      <c r="A61" s="133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8" customHeight="1" x14ac:dyDescent="0.4">
      <c r="A62" s="133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8" customHeight="1" x14ac:dyDescent="0.4">
      <c r="A63" s="133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8" customHeight="1" x14ac:dyDescent="0.4">
      <c r="A64" s="133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8" customHeight="1" x14ac:dyDescent="0.4">
      <c r="A65" s="133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8" customHeight="1" x14ac:dyDescent="0.4">
      <c r="A66" s="133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8" customHeight="1" x14ac:dyDescent="0.4">
      <c r="A67" s="133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65" t="s">
        <v>30</v>
      </c>
      <c r="D70" s="165"/>
      <c r="E70" s="165"/>
      <c r="F70" s="165"/>
      <c r="G70" s="165"/>
      <c r="H70" s="165"/>
      <c r="I70" s="165"/>
      <c r="J70" s="165"/>
      <c r="K70" s="20"/>
      <c r="L70" s="30"/>
    </row>
  </sheetData>
  <mergeCells count="40"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  <mergeCell ref="C39:J39"/>
    <mergeCell ref="D26:I26"/>
    <mergeCell ref="D27:I27"/>
    <mergeCell ref="D28:I28"/>
    <mergeCell ref="D29:I29"/>
    <mergeCell ref="C30:I30"/>
    <mergeCell ref="D32:J32"/>
    <mergeCell ref="D33:J33"/>
    <mergeCell ref="D35:J35"/>
    <mergeCell ref="D36:J36"/>
    <mergeCell ref="D37:J37"/>
    <mergeCell ref="D38:J38"/>
    <mergeCell ref="C70:J70"/>
    <mergeCell ref="C41:J41"/>
    <mergeCell ref="B57:C57"/>
    <mergeCell ref="G57:K57"/>
    <mergeCell ref="G58:K58"/>
    <mergeCell ref="G59:K59"/>
    <mergeCell ref="G60:K60"/>
    <mergeCell ref="G61:K61"/>
    <mergeCell ref="G62:K62"/>
    <mergeCell ref="G63:K63"/>
    <mergeCell ref="G64:K64"/>
    <mergeCell ref="G65:K65"/>
    <mergeCell ref="G66:K66"/>
    <mergeCell ref="G67:K67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M68"/>
  <sheetViews>
    <sheetView rightToLeft="1" view="pageBreakPreview" topLeftCell="A19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/>
      </c>
      <c r="C11" s="6"/>
      <c r="D11" s="6"/>
      <c r="E11" s="7"/>
      <c r="F11" s="186" t="str">
        <f>IFERROR(VLOOKUP(A11,DATA!B3:D21,3,0),"")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/>
      </c>
      <c r="C12" s="6"/>
      <c r="D12" s="6"/>
      <c r="E12" s="7"/>
      <c r="F12" s="159" t="str">
        <f>IFERROR(VLOOKUP(A12,DATA!B3:D22,3,0),"")</f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/>
      </c>
      <c r="C13" s="6"/>
      <c r="D13" s="6"/>
      <c r="E13" s="7"/>
      <c r="F13" s="159" t="str">
        <f>IFERROR(VLOOKUP(A13,DATA!B3:D23,3,0),"")</f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/>
      </c>
      <c r="C14" s="6"/>
      <c r="D14" s="6"/>
      <c r="E14" s="7"/>
      <c r="F14" s="159" t="str">
        <f>IFERROR(VLOOKUP(A14,DATA!B4:D24,3,0),"")</f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/>
      </c>
      <c r="C15" s="6"/>
      <c r="D15" s="6"/>
      <c r="E15" s="7"/>
      <c r="F15" s="159" t="str">
        <f>IFERROR(VLOOKUP(A15,DATA!B5:D25,3,0),"")</f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/>
      </c>
      <c r="C16" s="6"/>
      <c r="D16" s="6"/>
      <c r="E16" s="7"/>
      <c r="F16" s="159" t="str">
        <f>IFERROR(VLOOKUP(A16,DATA!B5:D26,3,0),"")</f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/>
      </c>
      <c r="C17" s="6"/>
      <c r="D17" s="6"/>
      <c r="E17" s="7"/>
      <c r="F17" s="159" t="str">
        <f>IFERROR(VLOOKUP(A17,DATA!B6:D27,3,0),"")</f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/>
      </c>
      <c r="C18" s="6"/>
      <c r="D18" s="6"/>
      <c r="E18" s="7"/>
      <c r="F18" s="159" t="str">
        <f>IFERROR(VLOOKUP(A18,DATA!B7:D28,3,0),"")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/>
      </c>
      <c r="C19" s="6"/>
      <c r="D19" s="6"/>
      <c r="E19" s="7"/>
      <c r="F19" s="159" t="str">
        <f>IFERROR(VLOOKUP(A19,DATA!B8:D29,3,0),"")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/>
      </c>
      <c r="C20" s="6"/>
      <c r="D20" s="6"/>
      <c r="E20" s="7"/>
      <c r="F20" s="159" t="str">
        <f>IFERROR(VLOOKUP(A20,DATA!B7:D28,3,0),"")</f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31" t="s">
        <v>35</v>
      </c>
      <c r="C21" s="130"/>
      <c r="D21" s="130"/>
      <c r="E21" s="130"/>
      <c r="F21" s="192" t="s">
        <v>92</v>
      </c>
      <c r="G21" s="192"/>
      <c r="H21" s="192"/>
      <c r="I21" s="192"/>
      <c r="J21" s="132" t="s">
        <v>27</v>
      </c>
      <c r="K21" s="22"/>
      <c r="L21" s="16"/>
      <c r="M21" s="2"/>
    </row>
    <row r="22" spans="1:13" ht="29.25" customHeight="1" x14ac:dyDescent="0.4">
      <c r="A22" s="12"/>
      <c r="B22" s="64" t="s">
        <v>70</v>
      </c>
      <c r="C22" s="22"/>
      <c r="D22" s="22"/>
      <c r="E22" s="22"/>
      <c r="F22" s="66"/>
      <c r="G22" s="64" t="s">
        <v>2</v>
      </c>
      <c r="H22" s="63"/>
      <c r="I22" s="65"/>
      <c r="J22" s="190" t="str">
        <f>NoToTxt(I22,"جنيها","قرش")&amp;" لاغير"</f>
        <v>صفر لاغير</v>
      </c>
      <c r="K22" s="190"/>
      <c r="L22" s="191"/>
      <c r="M22" s="2"/>
    </row>
    <row r="23" spans="1:13" ht="29.25" customHeight="1" x14ac:dyDescent="0.4">
      <c r="A23" s="12"/>
      <c r="B23" s="64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4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134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4" t="s">
        <v>93</v>
      </c>
      <c r="E26" s="164"/>
      <c r="F26" s="164"/>
      <c r="G26" s="164"/>
      <c r="H26" s="164"/>
      <c r="I26" s="164"/>
      <c r="J26" s="39"/>
      <c r="K26" s="40"/>
      <c r="L26" s="16"/>
      <c r="M26" s="2"/>
    </row>
    <row r="27" spans="1:13" ht="30.75" hidden="1" customHeight="1" x14ac:dyDescent="0.4">
      <c r="A27" s="12"/>
      <c r="B27" s="8"/>
      <c r="C27" s="26"/>
      <c r="D27" s="177"/>
      <c r="E27" s="178"/>
      <c r="F27" s="178"/>
      <c r="G27" s="178"/>
      <c r="H27" s="178"/>
      <c r="I27" s="178"/>
      <c r="J27" s="39"/>
      <c r="K27" s="56"/>
      <c r="L27" s="16"/>
      <c r="M27" s="2"/>
    </row>
    <row r="28" spans="1:13" ht="30.75" customHeight="1" thickBot="1" x14ac:dyDescent="0.45">
      <c r="A28" s="12"/>
      <c r="B28" s="8"/>
      <c r="C28" s="162" t="s">
        <v>9</v>
      </c>
      <c r="D28" s="163"/>
      <c r="E28" s="163"/>
      <c r="F28" s="163"/>
      <c r="G28" s="163"/>
      <c r="H28" s="163"/>
      <c r="I28" s="163"/>
      <c r="J28" s="39">
        <f>SUM(J26:J27)</f>
        <v>0</v>
      </c>
      <c r="K28" s="40">
        <f>SUM(K26:K27)</f>
        <v>0</v>
      </c>
      <c r="L28" s="16"/>
      <c r="M28" s="2"/>
    </row>
    <row r="29" spans="1:13" ht="29.25" customHeight="1" thickBot="1" x14ac:dyDescent="0.45">
      <c r="A29" s="12"/>
      <c r="B29" s="64" t="s">
        <v>10</v>
      </c>
      <c r="C29" s="22"/>
      <c r="D29" s="22"/>
      <c r="E29" s="22"/>
      <c r="F29" s="22"/>
      <c r="G29" s="22"/>
      <c r="H29" s="22"/>
      <c r="I29" s="22"/>
      <c r="J29" s="22"/>
      <c r="K29" s="22"/>
      <c r="L29" s="16"/>
      <c r="M29" s="2"/>
    </row>
    <row r="30" spans="1:13" ht="22.8" x14ac:dyDescent="0.4">
      <c r="A30" s="12"/>
      <c r="B30" s="8"/>
      <c r="C30" s="23" t="s">
        <v>3</v>
      </c>
      <c r="D30" s="166" t="s">
        <v>6</v>
      </c>
      <c r="E30" s="166"/>
      <c r="F30" s="166"/>
      <c r="G30" s="166"/>
      <c r="H30" s="166"/>
      <c r="I30" s="166"/>
      <c r="J30" s="166"/>
      <c r="K30" s="25" t="s">
        <v>20</v>
      </c>
      <c r="L30" s="17"/>
      <c r="M30" s="2"/>
    </row>
    <row r="31" spans="1:13" ht="30.75" customHeight="1" x14ac:dyDescent="0.4">
      <c r="A31" s="12"/>
      <c r="B31" s="8"/>
      <c r="C31" s="26">
        <v>1</v>
      </c>
      <c r="D31" s="167" t="s">
        <v>17</v>
      </c>
      <c r="E31" s="167"/>
      <c r="F31" s="167"/>
      <c r="G31" s="167"/>
      <c r="H31" s="167"/>
      <c r="I31" s="167"/>
      <c r="J31" s="167"/>
      <c r="K31" s="40"/>
      <c r="L31" s="16"/>
      <c r="M31" s="2"/>
    </row>
    <row r="32" spans="1:13" ht="30.75" customHeight="1" x14ac:dyDescent="0.4">
      <c r="A32" s="12"/>
      <c r="B32" s="8"/>
      <c r="C32" s="26">
        <v>2</v>
      </c>
      <c r="D32" s="31" t="s">
        <v>18</v>
      </c>
      <c r="E32" s="32"/>
      <c r="F32" s="32"/>
      <c r="G32" s="32"/>
      <c r="H32" s="32"/>
      <c r="I32" s="32"/>
      <c r="J32" s="33"/>
      <c r="K32" s="38"/>
      <c r="L32" s="16"/>
      <c r="M32" s="2"/>
    </row>
    <row r="33" spans="1:13" ht="30.75" customHeight="1" x14ac:dyDescent="0.4">
      <c r="A33" s="12"/>
      <c r="B33" s="8"/>
      <c r="C33" s="26">
        <v>3</v>
      </c>
      <c r="D33" s="188" t="s">
        <v>76</v>
      </c>
      <c r="E33" s="188"/>
      <c r="F33" s="188"/>
      <c r="G33" s="189"/>
      <c r="H33" s="188"/>
      <c r="I33" s="188"/>
      <c r="J33" s="188"/>
      <c r="K33" s="40"/>
      <c r="L33" s="16"/>
      <c r="M33" s="2"/>
    </row>
    <row r="34" spans="1:13" ht="30.75" customHeight="1" x14ac:dyDescent="0.4">
      <c r="A34" s="12"/>
      <c r="B34" s="8"/>
      <c r="C34" s="34">
        <v>4</v>
      </c>
      <c r="D34" s="169" t="s">
        <v>98</v>
      </c>
      <c r="E34" s="170"/>
      <c r="F34" s="170"/>
      <c r="G34" s="170"/>
      <c r="H34" s="170"/>
      <c r="I34" s="170"/>
      <c r="J34" s="171"/>
      <c r="K34" s="38"/>
      <c r="L34" s="16"/>
      <c r="M34" s="2"/>
    </row>
    <row r="35" spans="1:13" ht="30" customHeight="1" x14ac:dyDescent="0.4">
      <c r="A35" s="12"/>
      <c r="B35" s="8"/>
      <c r="C35" s="26">
        <v>5</v>
      </c>
      <c r="D35" s="167" t="s">
        <v>11</v>
      </c>
      <c r="E35" s="167"/>
      <c r="F35" s="167"/>
      <c r="G35" s="167"/>
      <c r="H35" s="167"/>
      <c r="I35" s="167"/>
      <c r="J35" s="167"/>
      <c r="K35" s="40"/>
      <c r="L35" s="16"/>
      <c r="M35" s="2"/>
    </row>
    <row r="36" spans="1:13" ht="30" customHeight="1" x14ac:dyDescent="0.4">
      <c r="A36" s="12"/>
      <c r="B36" s="8"/>
      <c r="C36" s="34">
        <v>6</v>
      </c>
      <c r="D36" s="169" t="s">
        <v>21</v>
      </c>
      <c r="E36" s="170"/>
      <c r="F36" s="170"/>
      <c r="G36" s="170"/>
      <c r="H36" s="170"/>
      <c r="I36" s="170"/>
      <c r="J36" s="171"/>
      <c r="K36" s="37"/>
      <c r="L36" s="16"/>
      <c r="M36" s="2"/>
    </row>
    <row r="37" spans="1:13" ht="30.75" customHeight="1" thickBot="1" x14ac:dyDescent="0.45">
      <c r="A37" s="12"/>
      <c r="B37" s="8"/>
      <c r="C37" s="162" t="s">
        <v>12</v>
      </c>
      <c r="D37" s="163"/>
      <c r="E37" s="163"/>
      <c r="F37" s="163"/>
      <c r="G37" s="163"/>
      <c r="H37" s="163"/>
      <c r="I37" s="163"/>
      <c r="J37" s="163"/>
      <c r="K37" s="41">
        <f>SUM(K31:K35)-K36</f>
        <v>0</v>
      </c>
      <c r="L37" s="16"/>
      <c r="M37" s="2"/>
    </row>
    <row r="38" spans="1:13" ht="59.25" customHeight="1" x14ac:dyDescent="0.4">
      <c r="A38" s="12"/>
      <c r="B38" s="3"/>
      <c r="C38" s="3"/>
      <c r="D38" s="3"/>
      <c r="E38" s="3"/>
      <c r="F38" s="3"/>
      <c r="G38" s="3"/>
      <c r="H38" s="3"/>
      <c r="I38" s="3"/>
      <c r="J38" s="3"/>
      <c r="K38" s="4"/>
      <c r="L38" s="18"/>
    </row>
    <row r="39" spans="1:13" ht="40.5" customHeight="1" thickBot="1" x14ac:dyDescent="0.45">
      <c r="A39" s="19"/>
      <c r="B39" s="20"/>
      <c r="C39" s="165" t="s">
        <v>30</v>
      </c>
      <c r="D39" s="165"/>
      <c r="E39" s="165"/>
      <c r="F39" s="165"/>
      <c r="G39" s="165"/>
      <c r="H39" s="165"/>
      <c r="I39" s="165"/>
      <c r="J39" s="165"/>
      <c r="K39" s="20"/>
      <c r="L39" s="21"/>
    </row>
    <row r="40" spans="1:13" ht="12" customHeight="1" x14ac:dyDescent="0.4">
      <c r="A40" s="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9"/>
    </row>
    <row r="41" spans="1:13" ht="22.8" x14ac:dyDescent="0.4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16"/>
    </row>
    <row r="42" spans="1:13" x14ac:dyDescent="0.25">
      <c r="A42" s="12"/>
      <c r="B42" s="5"/>
      <c r="C42" s="5"/>
      <c r="D42" s="5"/>
      <c r="E42" s="5"/>
      <c r="F42" s="5"/>
      <c r="G42" s="5"/>
      <c r="H42" s="5"/>
      <c r="I42" s="5"/>
      <c r="J42" s="5"/>
      <c r="K42" s="5"/>
      <c r="L42" s="13"/>
    </row>
    <row r="43" spans="1:13" x14ac:dyDescent="0.25">
      <c r="A43" s="12"/>
      <c r="B43" s="5"/>
      <c r="C43" s="5"/>
      <c r="D43" s="5"/>
      <c r="E43" s="5"/>
      <c r="F43" s="5"/>
      <c r="G43" s="5"/>
      <c r="H43" s="5"/>
      <c r="I43" s="5"/>
      <c r="J43" s="5"/>
      <c r="K43" s="5"/>
      <c r="L43" s="13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ht="33.75" customHeight="1" x14ac:dyDescent="0.4">
      <c r="A49" s="12"/>
      <c r="B49" s="22" t="s">
        <v>22</v>
      </c>
      <c r="C49" s="22"/>
      <c r="D49" s="22"/>
      <c r="E49" s="22"/>
      <c r="F49" s="22"/>
      <c r="G49" s="22"/>
      <c r="H49" s="22"/>
      <c r="I49" s="22"/>
      <c r="J49" s="22"/>
      <c r="K49" s="22"/>
      <c r="L49" s="13"/>
    </row>
    <row r="50" spans="1:12" ht="30" customHeight="1" x14ac:dyDescent="0.4">
      <c r="A50" s="12"/>
      <c r="B50" s="22" t="s">
        <v>83</v>
      </c>
      <c r="C50" s="22"/>
      <c r="D50" s="22"/>
      <c r="E50" s="22"/>
      <c r="F50" s="22"/>
      <c r="G50" s="22"/>
      <c r="H50" s="22"/>
      <c r="I50" s="22"/>
      <c r="J50" s="22"/>
      <c r="K50" s="22"/>
      <c r="L50" s="13"/>
    </row>
    <row r="51" spans="1:12" ht="30" customHeight="1" x14ac:dyDescent="0.4">
      <c r="A51" s="12"/>
      <c r="B51" s="35" t="s">
        <v>94</v>
      </c>
      <c r="C51" s="35"/>
      <c r="D51" s="35"/>
      <c r="E51" s="22"/>
      <c r="F51" s="22" t="s">
        <v>81</v>
      </c>
      <c r="G51" s="22"/>
      <c r="H51" s="22"/>
      <c r="I51" s="22"/>
      <c r="J51" s="22"/>
      <c r="K51" s="22"/>
      <c r="L51" s="13"/>
    </row>
    <row r="52" spans="1:12" ht="33.75" customHeight="1" x14ac:dyDescent="0.4">
      <c r="A52" s="53">
        <v>2</v>
      </c>
      <c r="B52" s="22" t="s">
        <v>33</v>
      </c>
      <c r="C52" s="36"/>
      <c r="D52" s="36"/>
      <c r="E52" s="22"/>
      <c r="F52" s="46" t="str">
        <f>IFERROR((VLOOKUP(A52,Table1[#All],2,0)),"")</f>
        <v>سامح بلامون عبدالسيد</v>
      </c>
      <c r="G52" s="22"/>
      <c r="H52" s="22"/>
      <c r="I52" s="22"/>
      <c r="J52" s="54" t="str">
        <f>IFERROR((VLOOKUP(A52,Table1[#All],3,0)),"")</f>
        <v>مدير التمويل متناهى الصغر بمحافظة قنا</v>
      </c>
      <c r="K52" s="22"/>
      <c r="L52" s="13"/>
    </row>
    <row r="53" spans="1:12" ht="33.75" customHeight="1" x14ac:dyDescent="0.4">
      <c r="A53" s="12"/>
      <c r="B53" s="22" t="s">
        <v>34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22" t="s">
        <v>14</v>
      </c>
      <c r="C54" s="22"/>
      <c r="D54" s="22"/>
      <c r="E54" s="22"/>
      <c r="F54" s="22"/>
      <c r="G54" s="22"/>
      <c r="H54" s="22"/>
      <c r="I54" s="22"/>
      <c r="J54" s="22"/>
      <c r="K54" s="22"/>
      <c r="L54" s="13"/>
    </row>
    <row r="55" spans="1:12" ht="42.75" customHeight="1" x14ac:dyDescent="0.4">
      <c r="A55" s="12"/>
      <c r="B55" s="179" t="s">
        <v>15</v>
      </c>
      <c r="C55" s="179"/>
      <c r="D55" s="22"/>
      <c r="E55" s="22"/>
      <c r="F55" s="22"/>
      <c r="G55" s="179" t="s">
        <v>16</v>
      </c>
      <c r="H55" s="179"/>
      <c r="I55" s="179"/>
      <c r="J55" s="179"/>
      <c r="K55" s="179"/>
      <c r="L55" s="13"/>
    </row>
    <row r="56" spans="1:12" ht="28.8" customHeight="1" x14ac:dyDescent="0.4">
      <c r="A56" s="133">
        <v>1</v>
      </c>
      <c r="B56" s="22" t="str">
        <f t="shared" ref="B56:B65" si="0">"الاستاذ "&amp;B11</f>
        <v xml:space="preserve">الاستاذ </v>
      </c>
      <c r="C56" s="22"/>
      <c r="D56" s="22"/>
      <c r="E56" s="22"/>
      <c r="F56" s="22"/>
      <c r="G56" s="160" t="s">
        <v>29</v>
      </c>
      <c r="H56" s="161"/>
      <c r="I56" s="161"/>
      <c r="J56" s="161"/>
      <c r="K56" s="161"/>
      <c r="L56" s="13"/>
    </row>
    <row r="57" spans="1:12" ht="28.8" customHeight="1" x14ac:dyDescent="0.4">
      <c r="A57" s="133">
        <v>2</v>
      </c>
      <c r="B57" s="22" t="str">
        <f t="shared" si="0"/>
        <v xml:space="preserve">الاستاذ </v>
      </c>
      <c r="C57" s="22"/>
      <c r="D57" s="22"/>
      <c r="E57" s="22"/>
      <c r="F57" s="22"/>
      <c r="G57" s="160" t="s">
        <v>29</v>
      </c>
      <c r="H57" s="161"/>
      <c r="I57" s="161"/>
      <c r="J57" s="161"/>
      <c r="K57" s="161"/>
      <c r="L57" s="13"/>
    </row>
    <row r="58" spans="1:12" ht="28.8" customHeight="1" x14ac:dyDescent="0.4">
      <c r="A58" s="133">
        <v>3</v>
      </c>
      <c r="B58" s="22" t="str">
        <f t="shared" si="0"/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8" customHeight="1" x14ac:dyDescent="0.4">
      <c r="A59" s="133">
        <v>4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8" customHeight="1" x14ac:dyDescent="0.4">
      <c r="A60" s="133">
        <v>5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8" customHeight="1" x14ac:dyDescent="0.4">
      <c r="A61" s="133">
        <v>6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8" customHeight="1" x14ac:dyDescent="0.4">
      <c r="A62" s="133">
        <v>7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8" customHeight="1" x14ac:dyDescent="0.4">
      <c r="A63" s="133">
        <v>8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8" customHeight="1" x14ac:dyDescent="0.4">
      <c r="A64" s="133">
        <v>9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8" customHeight="1" x14ac:dyDescent="0.4">
      <c r="A65" s="133">
        <v>10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33.25" customHeight="1" x14ac:dyDescent="0.25">
      <c r="A66" s="12"/>
      <c r="B66" s="5"/>
      <c r="C66" s="5"/>
      <c r="D66" s="5"/>
      <c r="E66" s="5"/>
      <c r="F66" s="5"/>
      <c r="G66" s="5"/>
      <c r="H66" s="5"/>
      <c r="I66" s="5"/>
      <c r="J66" s="5"/>
      <c r="K66" s="5"/>
      <c r="L66" s="13"/>
    </row>
    <row r="67" spans="1:12" ht="59.25" customHeight="1" x14ac:dyDescent="0.25">
      <c r="A67" s="12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13"/>
    </row>
    <row r="68" spans="1:12" ht="35.25" customHeight="1" thickBot="1" x14ac:dyDescent="0.45">
      <c r="A68" s="19"/>
      <c r="B68" s="20"/>
      <c r="C68" s="165" t="s">
        <v>30</v>
      </c>
      <c r="D68" s="165"/>
      <c r="E68" s="165"/>
      <c r="F68" s="165"/>
      <c r="G68" s="165"/>
      <c r="H68" s="165"/>
      <c r="I68" s="165"/>
      <c r="J68" s="165"/>
      <c r="K68" s="20"/>
      <c r="L68" s="30"/>
    </row>
  </sheetData>
  <mergeCells count="38">
    <mergeCell ref="F15:J15"/>
    <mergeCell ref="B8:J8"/>
    <mergeCell ref="F11:J11"/>
    <mergeCell ref="F12:J12"/>
    <mergeCell ref="F13:J13"/>
    <mergeCell ref="F14:J14"/>
    <mergeCell ref="J22:L22"/>
    <mergeCell ref="D25:I25"/>
    <mergeCell ref="D26:I26"/>
    <mergeCell ref="D27:I27"/>
    <mergeCell ref="F16:J16"/>
    <mergeCell ref="F17:J17"/>
    <mergeCell ref="F18:J18"/>
    <mergeCell ref="F19:J19"/>
    <mergeCell ref="F20:J20"/>
    <mergeCell ref="F21:I21"/>
    <mergeCell ref="G56:K56"/>
    <mergeCell ref="C28:I28"/>
    <mergeCell ref="D30:J30"/>
    <mergeCell ref="D31:J31"/>
    <mergeCell ref="D33:J33"/>
    <mergeCell ref="D34:J34"/>
    <mergeCell ref="D35:J35"/>
    <mergeCell ref="D36:J36"/>
    <mergeCell ref="C37:J37"/>
    <mergeCell ref="C39:J39"/>
    <mergeCell ref="B55:C55"/>
    <mergeCell ref="G55:K55"/>
    <mergeCell ref="G63:K63"/>
    <mergeCell ref="G64:K64"/>
    <mergeCell ref="G65:K65"/>
    <mergeCell ref="C68:J68"/>
    <mergeCell ref="G57:K57"/>
    <mergeCell ref="G58:K58"/>
    <mergeCell ref="G59:K59"/>
    <mergeCell ref="G60:K60"/>
    <mergeCell ref="G61:K61"/>
    <mergeCell ref="G62:K62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39" max="11" man="1"/>
  </rowBreaks>
  <ignoredErrors>
    <ignoredError sqref="F19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M72"/>
  <sheetViews>
    <sheetView rightToLeft="1" tabSelected="1" view="pageBreakPreview" zoomScale="90" zoomScaleNormal="100" zoomScaleSheetLayoutView="90" workbookViewId="0">
      <selection activeCell="C70" sqref="C7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45672</v>
      </c>
      <c r="D10" s="44" t="s">
        <v>1</v>
      </c>
      <c r="E10" s="68">
        <v>45672</v>
      </c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9">
        <v>1</v>
      </c>
      <c r="B11" s="6" t="str">
        <f>IFERROR(VLOOKUP(A11,Table1[#All],2,0),"")</f>
        <v>جورج راشد موريس</v>
      </c>
      <c r="C11" s="6"/>
      <c r="D11" s="6"/>
      <c r="E11" s="7"/>
      <c r="F11" s="159" t="str">
        <f t="shared" ref="F11:F20" si="0">IFERROR(VLOOKUP(A11,الاعضاء,3,0),"")</f>
        <v>مدير العمليات</v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69">
        <v>2</v>
      </c>
      <c r="B12" s="6" t="str">
        <f>IFERROR(VLOOKUP(A12,Table1[#All],2,0),"")</f>
        <v>سامح بلامون عبدالسيد</v>
      </c>
      <c r="C12" s="6"/>
      <c r="D12" s="6"/>
      <c r="E12" s="7"/>
      <c r="F12" s="159" t="str">
        <f t="shared" si="0"/>
        <v>مدير التمويل متناهى الصغر بمحافظة قنا</v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69">
        <v>9</v>
      </c>
      <c r="B13" s="6" t="str">
        <f>IFERROR(VLOOKUP(A13,Table1[#All],2,0),"")</f>
        <v>وائل مترى ناشد</v>
      </c>
      <c r="C13" s="6"/>
      <c r="D13" s="6"/>
      <c r="E13" s="7"/>
      <c r="F13" s="159" t="str">
        <f t="shared" si="0"/>
        <v>مدير مكتب التمويل متناهى الصغر بفرشوط</v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69">
        <v>15</v>
      </c>
      <c r="B14" s="6" t="str">
        <f>IFERROR(VLOOKUP(A14,Table1[#All],2,0),"")</f>
        <v>عادل اديب ناشد</v>
      </c>
      <c r="C14" s="6"/>
      <c r="D14" s="6"/>
      <c r="E14" s="7"/>
      <c r="F14" s="159" t="str">
        <f t="shared" si="0"/>
        <v>مشرف حسابات برامج التمويل متناهى الصغر</v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hidden="1" customHeight="1" x14ac:dyDescent="0.4">
      <c r="A15" s="69"/>
      <c r="B15" s="6" t="str">
        <f>IFERROR(VLOOKUP(A15,Table1[#All],2,0),"")</f>
        <v/>
      </c>
      <c r="C15" s="6"/>
      <c r="D15" s="6"/>
      <c r="E15" s="7"/>
      <c r="F15" s="159" t="str">
        <f t="shared" si="0"/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hidden="1" customHeight="1" x14ac:dyDescent="0.4">
      <c r="A16" s="69"/>
      <c r="B16" s="6" t="str">
        <f>IFERROR(VLOOKUP(A16,Table1[#All],2,0),"")</f>
        <v/>
      </c>
      <c r="C16" s="6"/>
      <c r="D16" s="6"/>
      <c r="E16" s="7"/>
      <c r="F16" s="159" t="str">
        <f t="shared" si="0"/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hidden="1" customHeight="1" x14ac:dyDescent="0.4">
      <c r="A17" s="69"/>
      <c r="B17" s="6" t="str">
        <f>IFERROR(VLOOKUP(A17,Table1[#All],2,0),"")</f>
        <v/>
      </c>
      <c r="C17" s="6"/>
      <c r="D17" s="6"/>
      <c r="E17" s="7"/>
      <c r="F17" s="159" t="str">
        <f t="shared" si="0"/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hidden="1" customHeight="1" x14ac:dyDescent="0.4">
      <c r="A18" s="69"/>
      <c r="B18" s="6" t="str">
        <f>IFERROR(VLOOKUP(A18,Table1[#All],2,0),"")</f>
        <v/>
      </c>
      <c r="C18" s="6"/>
      <c r="D18" s="6"/>
      <c r="E18" s="7"/>
      <c r="F18" s="159" t="str">
        <f t="shared" si="0"/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hidden="1" customHeight="1" x14ac:dyDescent="0.4">
      <c r="A19" s="69"/>
      <c r="B19" s="6" t="str">
        <f>IFERROR(VLOOKUP(A19,Table1[#All],2,0),"")</f>
        <v/>
      </c>
      <c r="C19" s="6"/>
      <c r="D19" s="6"/>
      <c r="E19" s="7"/>
      <c r="F19" s="159" t="str">
        <f t="shared" si="0"/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hidden="1" customHeight="1" x14ac:dyDescent="0.4">
      <c r="A20" s="69"/>
      <c r="B20" s="6" t="str">
        <f>IFERROR(VLOOKUP(A20,Table1[#All],2,0),"")</f>
        <v/>
      </c>
      <c r="C20" s="6"/>
      <c r="D20" s="6"/>
      <c r="E20" s="7"/>
      <c r="F20" s="159" t="str">
        <f t="shared" si="0"/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79" t="s">
        <v>35</v>
      </c>
      <c r="C21" s="179"/>
      <c r="D21" s="179"/>
      <c r="E21" s="179"/>
      <c r="F21" s="179"/>
      <c r="G21" s="179"/>
      <c r="H21" s="179"/>
      <c r="I21" s="137" t="s">
        <v>95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2">
        <v>4</v>
      </c>
      <c r="G22" s="64" t="s">
        <v>2</v>
      </c>
      <c r="H22" s="63"/>
      <c r="I22" s="72">
        <v>213000</v>
      </c>
      <c r="J22" s="180" t="str">
        <f>NoToTxt(I22,"جنيها","قرش")&amp;" لاغير"</f>
        <v>فقط مائتان وثلاثة عشر ألف جنيها لاغير</v>
      </c>
      <c r="K22" s="180"/>
      <c r="L22" s="18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136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4" t="s">
        <v>96</v>
      </c>
      <c r="E26" s="164"/>
      <c r="F26" s="164"/>
      <c r="G26" s="164"/>
      <c r="H26" s="164"/>
      <c r="I26" s="164"/>
      <c r="J26" s="75">
        <v>3</v>
      </c>
      <c r="K26" s="77">
        <v>113000</v>
      </c>
      <c r="L26" s="16"/>
      <c r="M26" s="2"/>
    </row>
    <row r="27" spans="1:13" ht="28.8" customHeight="1" x14ac:dyDescent="0.4">
      <c r="A27" s="12"/>
      <c r="B27" s="8"/>
      <c r="C27" s="26">
        <v>1</v>
      </c>
      <c r="D27" s="164" t="s">
        <v>97</v>
      </c>
      <c r="E27" s="164"/>
      <c r="F27" s="164"/>
      <c r="G27" s="164"/>
      <c r="H27" s="164"/>
      <c r="I27" s="164"/>
      <c r="J27" s="75">
        <v>1</v>
      </c>
      <c r="K27" s="77">
        <v>100000</v>
      </c>
      <c r="L27" s="16"/>
      <c r="M27" s="2"/>
    </row>
    <row r="28" spans="1:13" ht="28.8" customHeight="1" x14ac:dyDescent="0.4">
      <c r="A28" s="12"/>
      <c r="B28" s="8"/>
      <c r="C28" s="26">
        <v>1</v>
      </c>
      <c r="D28" s="172" t="s">
        <v>99</v>
      </c>
      <c r="E28" s="173"/>
      <c r="F28" s="173"/>
      <c r="G28" s="173"/>
      <c r="H28" s="173"/>
      <c r="I28" s="174"/>
      <c r="J28" s="75"/>
      <c r="K28" s="77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77" t="s">
        <v>7</v>
      </c>
      <c r="E29" s="178"/>
      <c r="F29" s="178"/>
      <c r="G29" s="178"/>
      <c r="H29" s="178"/>
      <c r="I29" s="178"/>
      <c r="J29" s="75" t="s">
        <v>23</v>
      </c>
      <c r="K29" s="76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77" t="s">
        <v>8</v>
      </c>
      <c r="E30" s="178"/>
      <c r="F30" s="178"/>
      <c r="G30" s="178"/>
      <c r="H30" s="178"/>
      <c r="I30" s="178"/>
      <c r="J30" s="75" t="s">
        <v>23</v>
      </c>
      <c r="K30" s="76" t="s">
        <v>23</v>
      </c>
      <c r="L30" s="16"/>
      <c r="M30" s="2"/>
    </row>
    <row r="31" spans="1:13" ht="30.75" customHeight="1" thickBot="1" x14ac:dyDescent="0.45">
      <c r="A31" s="12"/>
      <c r="B31" s="8"/>
      <c r="C31" s="162" t="s">
        <v>9</v>
      </c>
      <c r="D31" s="163"/>
      <c r="E31" s="163"/>
      <c r="F31" s="163"/>
      <c r="G31" s="163"/>
      <c r="H31" s="163"/>
      <c r="I31" s="163"/>
      <c r="J31" s="75">
        <f>J26+J27+J28</f>
        <v>4</v>
      </c>
      <c r="K31" s="77">
        <f>K26+K27+K28</f>
        <v>213000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7" t="s">
        <v>17</v>
      </c>
      <c r="E34" s="167"/>
      <c r="F34" s="167"/>
      <c r="G34" s="167"/>
      <c r="H34" s="167"/>
      <c r="I34" s="167"/>
      <c r="J34" s="167"/>
      <c r="K34" s="77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/>
      <c r="L35" s="16"/>
      <c r="M35" s="2"/>
    </row>
    <row r="36" spans="1:13" ht="30.75" customHeight="1" x14ac:dyDescent="0.4">
      <c r="A36" s="12"/>
      <c r="B36" s="8"/>
      <c r="C36" s="26">
        <v>3</v>
      </c>
      <c r="D36" s="167" t="s">
        <v>19</v>
      </c>
      <c r="E36" s="167"/>
      <c r="F36" s="167"/>
      <c r="G36" s="168"/>
      <c r="H36" s="167"/>
      <c r="I36" s="167"/>
      <c r="J36" s="167"/>
      <c r="K36" s="77">
        <v>147623</v>
      </c>
      <c r="L36" s="16"/>
      <c r="M36" s="2"/>
    </row>
    <row r="37" spans="1:13" ht="30.75" customHeight="1" x14ac:dyDescent="0.4">
      <c r="A37" s="12"/>
      <c r="B37" s="8"/>
      <c r="C37" s="34">
        <v>4</v>
      </c>
      <c r="D37" s="169" t="s">
        <v>98</v>
      </c>
      <c r="E37" s="170"/>
      <c r="F37" s="170"/>
      <c r="G37" s="170"/>
      <c r="H37" s="170"/>
      <c r="I37" s="170"/>
      <c r="J37" s="171"/>
      <c r="K37" s="78">
        <v>299238</v>
      </c>
      <c r="L37" s="16"/>
      <c r="M37" s="2"/>
    </row>
    <row r="38" spans="1:13" ht="30" customHeight="1" x14ac:dyDescent="0.4">
      <c r="A38" s="12"/>
      <c r="B38" s="8"/>
      <c r="C38" s="26">
        <v>5</v>
      </c>
      <c r="D38" s="167" t="s">
        <v>11</v>
      </c>
      <c r="E38" s="167"/>
      <c r="F38" s="167"/>
      <c r="G38" s="167"/>
      <c r="H38" s="167"/>
      <c r="I38" s="167"/>
      <c r="J38" s="167"/>
      <c r="K38" s="77"/>
      <c r="L38" s="16"/>
      <c r="M38" s="2"/>
    </row>
    <row r="39" spans="1:13" ht="30" customHeight="1" x14ac:dyDescent="0.4">
      <c r="A39" s="12"/>
      <c r="B39" s="8"/>
      <c r="C39" s="34">
        <v>6</v>
      </c>
      <c r="D39" s="169" t="s">
        <v>21</v>
      </c>
      <c r="E39" s="170"/>
      <c r="F39" s="170"/>
      <c r="G39" s="170"/>
      <c r="H39" s="170"/>
      <c r="I39" s="170"/>
      <c r="J39" s="171"/>
      <c r="K39" s="79">
        <v>233000</v>
      </c>
      <c r="L39" s="16"/>
      <c r="M39" s="2"/>
    </row>
    <row r="40" spans="1:13" ht="30.75" customHeight="1" thickBot="1" x14ac:dyDescent="0.45">
      <c r="A40" s="12"/>
      <c r="B40" s="8"/>
      <c r="C40" s="162" t="s">
        <v>12</v>
      </c>
      <c r="D40" s="163"/>
      <c r="E40" s="163"/>
      <c r="F40" s="163"/>
      <c r="G40" s="163"/>
      <c r="H40" s="163"/>
      <c r="I40" s="163"/>
      <c r="J40" s="163"/>
      <c r="K40" s="116">
        <f>SUM(K34:K38)-K39</f>
        <v>213861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5" t="s">
        <v>30</v>
      </c>
      <c r="D42" s="165"/>
      <c r="E42" s="165"/>
      <c r="F42" s="165"/>
      <c r="G42" s="165"/>
      <c r="H42" s="165"/>
      <c r="I42" s="165"/>
      <c r="J42" s="165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8" customHeight="1" x14ac:dyDescent="0.4">
      <c r="A58" s="12"/>
      <c r="B58" s="179" t="s">
        <v>15</v>
      </c>
      <c r="C58" s="179"/>
      <c r="D58" s="22"/>
      <c r="E58" s="22"/>
      <c r="F58" s="22"/>
      <c r="G58" s="179" t="s">
        <v>16</v>
      </c>
      <c r="H58" s="179"/>
      <c r="I58" s="179"/>
      <c r="J58" s="179"/>
      <c r="K58" s="179"/>
      <c r="L58" s="13"/>
    </row>
    <row r="59" spans="1:12" ht="28.8" customHeight="1" x14ac:dyDescent="0.4">
      <c r="A59" s="133">
        <v>1</v>
      </c>
      <c r="B59" s="22" t="str">
        <f t="shared" ref="B59:B68" si="1">"الاستاذ "&amp;B11</f>
        <v>الاستاذ جورج راشد موريس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8" customHeight="1" x14ac:dyDescent="0.4">
      <c r="A60" s="133">
        <v>2</v>
      </c>
      <c r="B60" s="22" t="str">
        <f t="shared" si="1"/>
        <v>الاستاذ سامح بلامون عبدالسيد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8" customHeight="1" x14ac:dyDescent="0.4">
      <c r="A61" s="133">
        <v>3</v>
      </c>
      <c r="B61" s="22" t="str">
        <f t="shared" si="1"/>
        <v>الاستاذ وائل مترى ناشد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8" customHeight="1" x14ac:dyDescent="0.4">
      <c r="A62" s="133">
        <v>4</v>
      </c>
      <c r="B62" s="22" t="str">
        <f t="shared" si="1"/>
        <v>الاستاذ عادل اديب ناشد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8" hidden="1" customHeight="1" x14ac:dyDescent="0.4">
      <c r="A63" s="133">
        <v>5</v>
      </c>
      <c r="B63" s="22" t="str">
        <f t="shared" si="1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8" hidden="1" customHeight="1" x14ac:dyDescent="0.4">
      <c r="A64" s="133">
        <v>6</v>
      </c>
      <c r="B64" s="22" t="str">
        <f t="shared" si="1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8" hidden="1" customHeight="1" x14ac:dyDescent="0.4">
      <c r="A65" s="133">
        <v>7</v>
      </c>
      <c r="B65" s="22" t="str">
        <f t="shared" si="1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8" hidden="1" customHeight="1" x14ac:dyDescent="0.4">
      <c r="A66" s="133">
        <v>8</v>
      </c>
      <c r="B66" s="22" t="str">
        <f t="shared" si="1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8" hidden="1" customHeight="1" x14ac:dyDescent="0.4">
      <c r="A67" s="133">
        <v>9</v>
      </c>
      <c r="B67" s="22" t="str">
        <f t="shared" si="1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31.8" hidden="1" customHeight="1" x14ac:dyDescent="0.4">
      <c r="A68" s="133">
        <v>10</v>
      </c>
      <c r="B68" s="22" t="str">
        <f t="shared" si="1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65" t="s">
        <v>30</v>
      </c>
      <c r="D72" s="165"/>
      <c r="E72" s="165"/>
      <c r="F72" s="165"/>
      <c r="G72" s="165"/>
      <c r="H72" s="165"/>
      <c r="I72" s="165"/>
      <c r="J72" s="165"/>
      <c r="K72" s="20"/>
      <c r="L72" s="30"/>
    </row>
  </sheetData>
  <sheetProtection selectLockedCells="1"/>
  <mergeCells count="41">
    <mergeCell ref="G65:K65"/>
    <mergeCell ref="G66:K66"/>
    <mergeCell ref="G67:K67"/>
    <mergeCell ref="G68:K68"/>
    <mergeCell ref="C72:J72"/>
    <mergeCell ref="G64:K64"/>
    <mergeCell ref="D38:J38"/>
    <mergeCell ref="D39:J39"/>
    <mergeCell ref="C40:J40"/>
    <mergeCell ref="C42:J42"/>
    <mergeCell ref="B58:C58"/>
    <mergeCell ref="G58:K58"/>
    <mergeCell ref="G59:K59"/>
    <mergeCell ref="G60:K60"/>
    <mergeCell ref="G61:K61"/>
    <mergeCell ref="G62:K62"/>
    <mergeCell ref="G63:K63"/>
    <mergeCell ref="D37:J37"/>
    <mergeCell ref="J22:L22"/>
    <mergeCell ref="D25:I25"/>
    <mergeCell ref="D26:I26"/>
    <mergeCell ref="D27:I27"/>
    <mergeCell ref="D28:I28"/>
    <mergeCell ref="D29:I29"/>
    <mergeCell ref="D30:I30"/>
    <mergeCell ref="C31:I31"/>
    <mergeCell ref="D33:J33"/>
    <mergeCell ref="D34:J34"/>
    <mergeCell ref="D36:J36"/>
    <mergeCell ref="B21:H21"/>
    <mergeCell ref="B8:J8"/>
    <mergeCell ref="F11:J11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22"/>
  <sheetViews>
    <sheetView rightToLeft="1" workbookViewId="0">
      <selection activeCell="C21" sqref="C21"/>
    </sheetView>
  </sheetViews>
  <sheetFormatPr defaultRowHeight="13.2" x14ac:dyDescent="0.25"/>
  <cols>
    <col min="1" max="1" width="4.109375" customWidth="1"/>
    <col min="2" max="2" width="6.33203125" bestFit="1" customWidth="1"/>
    <col min="3" max="3" width="16.77734375" bestFit="1" customWidth="1"/>
    <col min="4" max="4" width="47.5546875" bestFit="1" customWidth="1"/>
  </cols>
  <sheetData>
    <row r="2" spans="2:4" x14ac:dyDescent="0.25">
      <c r="B2" s="48" t="s">
        <v>31</v>
      </c>
      <c r="C2" s="49" t="s">
        <v>15</v>
      </c>
      <c r="D2" s="49" t="s">
        <v>28</v>
      </c>
    </row>
    <row r="3" spans="2:4" ht="13.8" x14ac:dyDescent="0.25">
      <c r="B3" s="51">
        <v>1</v>
      </c>
      <c r="C3" s="61" t="s">
        <v>63</v>
      </c>
      <c r="D3" s="52" t="s">
        <v>91</v>
      </c>
    </row>
    <row r="4" spans="2:4" ht="13.8" x14ac:dyDescent="0.25">
      <c r="B4" s="51">
        <v>2</v>
      </c>
      <c r="C4" s="61" t="s">
        <v>53</v>
      </c>
      <c r="D4" s="52" t="s">
        <v>39</v>
      </c>
    </row>
    <row r="5" spans="2:4" ht="13.8" x14ac:dyDescent="0.25">
      <c r="B5" s="51">
        <v>3</v>
      </c>
      <c r="C5" s="61" t="s">
        <v>62</v>
      </c>
      <c r="D5" s="52" t="s">
        <v>42</v>
      </c>
    </row>
    <row r="6" spans="2:4" ht="13.8" x14ac:dyDescent="0.25">
      <c r="B6" s="51">
        <v>4</v>
      </c>
      <c r="C6" s="61" t="s">
        <v>55</v>
      </c>
      <c r="D6" s="52" t="s">
        <v>37</v>
      </c>
    </row>
    <row r="7" spans="2:4" ht="13.8" x14ac:dyDescent="0.25">
      <c r="B7" s="51">
        <v>5</v>
      </c>
      <c r="C7" s="61" t="s">
        <v>71</v>
      </c>
      <c r="D7" s="52" t="s">
        <v>72</v>
      </c>
    </row>
    <row r="8" spans="2:4" ht="13.8" x14ac:dyDescent="0.25">
      <c r="B8" s="51">
        <v>6</v>
      </c>
      <c r="C8" s="61" t="s">
        <v>67</v>
      </c>
      <c r="D8" s="52" t="s">
        <v>38</v>
      </c>
    </row>
    <row r="9" spans="2:4" x14ac:dyDescent="0.25">
      <c r="B9" s="51">
        <v>7</v>
      </c>
      <c r="C9" s="62" t="s">
        <v>61</v>
      </c>
      <c r="D9" s="52" t="s">
        <v>80</v>
      </c>
    </row>
    <row r="10" spans="2:4" x14ac:dyDescent="0.25">
      <c r="B10" s="51">
        <v>8</v>
      </c>
      <c r="C10" s="62" t="s">
        <v>54</v>
      </c>
      <c r="D10" s="58" t="s">
        <v>66</v>
      </c>
    </row>
    <row r="11" spans="2:4" x14ac:dyDescent="0.25">
      <c r="B11" s="51">
        <v>9</v>
      </c>
      <c r="C11" s="62" t="s">
        <v>65</v>
      </c>
      <c r="D11" s="58" t="s">
        <v>103</v>
      </c>
    </row>
    <row r="12" spans="2:4" ht="13.8" x14ac:dyDescent="0.25">
      <c r="B12" s="51">
        <v>10</v>
      </c>
      <c r="C12" s="61" t="s">
        <v>59</v>
      </c>
      <c r="D12" s="52" t="s">
        <v>44</v>
      </c>
    </row>
    <row r="13" spans="2:4" ht="13.8" x14ac:dyDescent="0.25">
      <c r="B13" s="51">
        <v>11</v>
      </c>
      <c r="C13" s="61" t="s">
        <v>60</v>
      </c>
      <c r="D13" s="52" t="s">
        <v>45</v>
      </c>
    </row>
    <row r="14" spans="2:4" ht="13.8" x14ac:dyDescent="0.25">
      <c r="B14" s="51">
        <v>12</v>
      </c>
      <c r="C14" s="61" t="s">
        <v>58</v>
      </c>
      <c r="D14" s="52" t="s">
        <v>43</v>
      </c>
    </row>
    <row r="15" spans="2:4" x14ac:dyDescent="0.25">
      <c r="B15" s="51">
        <v>13</v>
      </c>
      <c r="C15" s="62" t="s">
        <v>68</v>
      </c>
      <c r="D15" s="58" t="s">
        <v>69</v>
      </c>
    </row>
    <row r="16" spans="2:4" ht="13.8" x14ac:dyDescent="0.25">
      <c r="B16" s="51">
        <v>14</v>
      </c>
      <c r="C16" s="61" t="s">
        <v>56</v>
      </c>
      <c r="D16" s="52" t="s">
        <v>40</v>
      </c>
    </row>
    <row r="17" spans="2:4" ht="13.8" x14ac:dyDescent="0.25">
      <c r="B17" s="51">
        <v>15</v>
      </c>
      <c r="C17" s="61" t="s">
        <v>57</v>
      </c>
      <c r="D17" s="52" t="s">
        <v>41</v>
      </c>
    </row>
    <row r="18" spans="2:4" ht="13.8" x14ac:dyDescent="0.25">
      <c r="B18" s="51">
        <v>16</v>
      </c>
      <c r="C18" s="61" t="s">
        <v>64</v>
      </c>
      <c r="D18" s="52" t="s">
        <v>41</v>
      </c>
    </row>
    <row r="19" spans="2:4" ht="13.8" x14ac:dyDescent="0.25">
      <c r="B19" s="51">
        <v>17</v>
      </c>
      <c r="C19" s="61" t="s">
        <v>73</v>
      </c>
      <c r="D19" s="52" t="s">
        <v>72</v>
      </c>
    </row>
    <row r="20" spans="2:4" ht="13.8" x14ac:dyDescent="0.25">
      <c r="B20" s="51">
        <v>18</v>
      </c>
      <c r="C20" s="61" t="s">
        <v>101</v>
      </c>
      <c r="D20" s="52" t="s">
        <v>102</v>
      </c>
    </row>
    <row r="21" spans="2:4" ht="13.8" x14ac:dyDescent="0.25">
      <c r="B21" s="51">
        <v>19</v>
      </c>
      <c r="C21" s="61" t="s">
        <v>104</v>
      </c>
      <c r="D21" s="52" t="s">
        <v>105</v>
      </c>
    </row>
    <row r="22" spans="2:4" x14ac:dyDescent="0.25">
      <c r="B22" s="57"/>
      <c r="C22" s="58"/>
      <c r="D22" s="58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ايدى فى ايدك</vt:lpstr>
      <vt:lpstr>البنك الاهلى</vt:lpstr>
      <vt:lpstr>بنك مصر</vt:lpstr>
      <vt:lpstr>الاسباني</vt:lpstr>
      <vt:lpstr>تعزيز القدرات المؤسسية</vt:lpstr>
      <vt:lpstr>بنك الاسكندرية</vt:lpstr>
      <vt:lpstr>DATA</vt:lpstr>
      <vt:lpstr>الاسباني!Print_Area</vt:lpstr>
      <vt:lpstr>'البنك الاهلى'!Print_Area</vt:lpstr>
      <vt:lpstr>'ايدى فى ايدك'!Print_Area</vt:lpstr>
      <vt:lpstr>'بنك الاسكندرية'!Print_Area</vt:lpstr>
      <vt:lpstr>'بنك مصر'!Print_Area</vt:lpstr>
      <vt:lpstr>'تعزيز القدرات المؤسسية'!Print_Area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2024-08-05T07:19:12Z</cp:lastPrinted>
  <dcterms:created xsi:type="dcterms:W3CDTF">1996-10-14T23:33:28Z</dcterms:created>
  <dcterms:modified xsi:type="dcterms:W3CDTF">2025-01-20T12:48:25Z</dcterms:modified>
</cp:coreProperties>
</file>