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 s="1"/>
  <c r="I10" i="6"/>
  <c r="J10" i="6" s="1"/>
  <c r="I9" i="6"/>
  <c r="J9" i="6" s="1"/>
  <c r="I8" i="6"/>
  <c r="J8" i="6" s="1"/>
  <c r="I7" i="6"/>
  <c r="J7" i="6" s="1"/>
  <c r="I7" i="4"/>
  <c r="J7" i="4" s="1"/>
  <c r="I8" i="4"/>
  <c r="J8" i="4" s="1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<sst xmlns="http://schemas.openxmlformats.org/spreadsheetml/2006/main" count="121" uniqueCount="63">
  <si>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</si>
  <si>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</si>
  <si>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</si>
  <si>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</si>
  <si>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</si>
  <si>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</si>
  <si>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</si>
  <si>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</si>
  <si>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</si>
  <si>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</si>
  <si>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</si>
  <si>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</si>
  <si>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</si>
  <si>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</si>
  <si>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</si>
  <si>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ايمان عادل عثمان السيد</t>
  </si>
  <si>
    <t>كرم صابر عبدالصبور ابوالحمد</t>
  </si>
  <si>
    <t>ترزي حريمي</t>
  </si>
  <si>
    <t>ابانوب عاطف</t>
  </si>
  <si>
    <t>نجع حمادى</t>
  </si>
  <si>
    <t>تجارة بقالة</t>
  </si>
  <si>
    <t>كيرلس عاطف</t>
  </si>
  <si>
    <t>هو</t>
  </si>
  <si>
    <t>اعمال سباكة</t>
  </si>
  <si>
    <t>ايمان احمد يحيى احمد</t>
  </si>
  <si>
    <t>محمود عبدالفتاح محمود محمد</t>
  </si>
  <si>
    <t>محمد رفعت محمد عبدالعزيز</t>
  </si>
  <si>
    <t>عمرة توكتوك / تروسيكل</t>
  </si>
  <si>
    <t>مينا مخلف</t>
  </si>
  <si>
    <t>القصر</t>
  </si>
  <si>
    <t>تربية و تسمين ماشية</t>
  </si>
  <si>
    <t>نجع عمران</t>
  </si>
  <si>
    <t>كيرلس ثروت تامر توفيق</t>
  </si>
  <si>
    <t>بضابا مفيد صليب محارب</t>
  </si>
  <si>
    <t>ولاء بخيت محمد احمد</t>
  </si>
  <si>
    <t>محمود عبدالمالك احمد محمود</t>
  </si>
  <si>
    <t>باتعه عبدالحي عبدالعاطي محمد</t>
  </si>
  <si>
    <t>صبري محمد عوض حسين</t>
  </si>
  <si>
    <t>تصنيع تماثيل خشبية</t>
  </si>
  <si>
    <t>نجارة باب و شباك</t>
  </si>
  <si>
    <t>نصحى مقار</t>
  </si>
  <si>
    <t>الرحمانيه</t>
  </si>
  <si>
    <t>اولاد نجم</t>
  </si>
  <si>
    <t>القمانه</t>
  </si>
  <si>
    <t>هناء محمود ظهرى عبدالله</t>
  </si>
  <si>
    <t>ياسمين محمود ظهرى عبدالله</t>
  </si>
  <si>
    <t>محمود محمد علي سليم</t>
  </si>
  <si>
    <t>عبدالفتاح محمود محمد محمود</t>
  </si>
  <si>
    <t>بثينه حمدي سعيد جادالله</t>
  </si>
  <si>
    <t>رفعت محمد عبدالعزيز عبدالرحيم</t>
  </si>
  <si>
    <t>نجوي عبدالرازق حسين اسماعيل</t>
  </si>
  <si>
    <t>ثروت تامر توفيق ميخائيل</t>
  </si>
  <si>
    <t>مرفت نجيب صليب جورجيوس</t>
  </si>
  <si>
    <t>رزيقي تفيد صليب محارب</t>
  </si>
  <si>
    <t>رزق الله تفيد صليب محارب</t>
  </si>
  <si>
    <t>عبداللاه محمود عبداللاه محمد</t>
  </si>
  <si>
    <t>سماح ابوبكر علي عثمان</t>
  </si>
  <si>
    <t>دعاء رفعت عبدالفتاح عبدالمطلب</t>
  </si>
  <si>
    <t>ناديه عبدالمالك احمد محمود</t>
  </si>
  <si>
    <t>محمد حمدان حمدون عيسي</t>
  </si>
  <si>
    <t>محمود محمد حمدان حمدون</t>
  </si>
  <si>
    <t>نجلاء شوقي عبدالمنصف علي</t>
  </si>
  <si>
    <t>جديد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</si>
</sst>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tabSelected="1" topLeftCell="A4" zoomScaleNormal="100" zoomScaleSheetLayoutView="90" workbookViewId="0">
      <selection activeCell="C14" sqref="C14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 t="s">
        <v>62</v>
      </c>
      <c r="C7" s="6" t="s">
        <v>24</v>
      </c>
      <c r="D7" s="7">
        <v>28409292704802</v>
      </c>
      <c r="E7" s="5" t="s">
        <v>17</v>
      </c>
      <c r="F7" s="7" t="s">
        <v>18</v>
      </c>
      <c r="G7" s="4" t="s">
        <v>19</v>
      </c>
      <c r="H7" s="2">
        <v>25000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 t="s">
        <v>62</v>
      </c>
      <c r="C8" s="6" t="s">
        <v>15</v>
      </c>
      <c r="D8" s="7">
        <v>29812292700524</v>
      </c>
      <c r="E8" s="5" t="s">
        <v>20</v>
      </c>
      <c r="F8" s="7" t="s">
        <v>21</v>
      </c>
      <c r="G8" s="4" t="s">
        <v>22</v>
      </c>
      <c r="H8" s="2">
        <v>25000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5" t="s">
        <v>62</v>
      </c>
      <c r="C9" s="9" t="s">
        <v>16</v>
      </c>
      <c r="D9" s="7">
        <v>29901122701693</v>
      </c>
      <c r="E9" s="5" t="s">
        <v>23</v>
      </c>
      <c r="F9" s="7" t="s">
        <v>21</v>
      </c>
      <c r="G9" s="4" t="s">
        <v>22</v>
      </c>
      <c r="H9" s="2">
        <v>25000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 t="s">
        <v>62</v>
      </c>
      <c r="C10" s="6" t="s">
        <v>25</v>
      </c>
      <c r="D10" s="7">
        <v>30204302701376</v>
      </c>
      <c r="E10" s="5" t="s">
        <v>27</v>
      </c>
      <c r="F10" s="7" t="s">
        <v>28</v>
      </c>
      <c r="G10" s="4" t="s">
        <v>29</v>
      </c>
      <c r="H10" s="2">
        <v>20000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 t="s">
        <v>62</v>
      </c>
      <c r="C11" s="10" t="s">
        <v>26</v>
      </c>
      <c r="D11" s="5">
        <v>30009252703871</v>
      </c>
      <c r="E11" s="5" t="s">
        <v>30</v>
      </c>
      <c r="F11" s="7" t="s">
        <v>18</v>
      </c>
      <c r="G11" s="4" t="s">
        <v>31</v>
      </c>
      <c r="H11" s="2">
        <v>20000</v>
      </c>
      <c r="I11" s="18">
        <f t="shared" ref="I11:I56" si="0">LEN(D11)</f>
        <v>14</v>
      </c>
      <c r="J11" s="17" t="str">
        <f t="shared" ref="J11:J56" si="1">IF(I11=14,"ok","rong")</f>
        <v>ok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B13" sqref="B13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5010</v>
      </c>
      <c r="C7" s="6" t="s">
        <v>32</v>
      </c>
      <c r="D7" s="7">
        <v>29803222700978</v>
      </c>
      <c r="E7" s="5" t="s">
        <v>38</v>
      </c>
      <c r="F7" s="7" t="s">
        <v>21</v>
      </c>
      <c r="G7" s="4" t="s">
        <v>19</v>
      </c>
      <c r="H7" s="4">
        <v>25000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4790</v>
      </c>
      <c r="C8" s="6" t="s">
        <v>33</v>
      </c>
      <c r="D8" s="7">
        <v>26308302701612</v>
      </c>
      <c r="E8" s="5" t="s">
        <v>39</v>
      </c>
      <c r="F8" s="7" t="s">
        <v>40</v>
      </c>
      <c r="G8" s="4" t="s">
        <v>41</v>
      </c>
      <c r="H8" s="4">
        <v>20000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5361</v>
      </c>
      <c r="C9" s="9" t="s">
        <v>34</v>
      </c>
      <c r="D9" s="7">
        <v>29603202702665</v>
      </c>
      <c r="E9" s="5" t="s">
        <v>17</v>
      </c>
      <c r="F9" s="7" t="s">
        <v>21</v>
      </c>
      <c r="G9" s="4" t="s">
        <v>22</v>
      </c>
      <c r="H9" s="4">
        <v>30000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3178</v>
      </c>
      <c r="C10" s="6" t="s">
        <v>35</v>
      </c>
      <c r="D10" s="7">
        <v>28303122702039</v>
      </c>
      <c r="E10" s="5" t="s">
        <v>30</v>
      </c>
      <c r="F10" s="7" t="s">
        <v>40</v>
      </c>
      <c r="G10" s="4" t="s">
        <v>42</v>
      </c>
      <c r="H10" s="4">
        <v>30000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>
        <v>4681</v>
      </c>
      <c r="C11" s="10" t="s">
        <v>36</v>
      </c>
      <c r="D11" s="5">
        <v>28009011405064</v>
      </c>
      <c r="E11" s="5" t="s">
        <v>17</v>
      </c>
      <c r="F11" s="7" t="s">
        <v>18</v>
      </c>
      <c r="G11" s="4" t="s">
        <v>43</v>
      </c>
      <c r="H11" s="4">
        <v>10000</v>
      </c>
      <c r="I11" s="18">
        <f t="shared" ref="I11:I49" si="0">LEN(D11)</f>
        <v>14</v>
      </c>
      <c r="J11" s="17" t="str">
        <f t="shared" ref="J11:J49" si="1">IF(I11=14,"ok","rong")</f>
        <v>ok</v>
      </c>
    </row>
    <row r="12" spans="1:10" ht="18" customHeight="1" x14ac:dyDescent="0.2">
      <c r="A12" s="4">
        <v>6</v>
      </c>
      <c r="B12" s="5">
        <v>3171</v>
      </c>
      <c r="C12" s="10" t="s">
        <v>37</v>
      </c>
      <c r="D12" s="5">
        <v>28204032701337</v>
      </c>
      <c r="E12" s="5" t="s">
        <v>30</v>
      </c>
      <c r="F12" s="7" t="s">
        <v>18</v>
      </c>
      <c r="G12" s="4" t="s">
        <v>43</v>
      </c>
      <c r="H12" s="4">
        <v>20000</v>
      </c>
      <c r="I12" s="18">
        <f t="shared" si="0"/>
        <v>14</v>
      </c>
      <c r="J12" s="17" t="str">
        <f t="shared" si="1"/>
        <v>ok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topLeftCell="A4" zoomScaleNormal="100" zoomScaleSheetLayoutView="90" workbookViewId="0">
      <selection activeCell="B13" sqref="B13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 t="s">
        <v>62</v>
      </c>
      <c r="C7" s="6" t="s">
        <v>24</v>
      </c>
      <c r="D7" s="6" t="s">
        <v>44</v>
      </c>
      <c r="E7" s="10">
        <v>27710132700604</v>
      </c>
      <c r="F7" s="32" t="s">
        <v>45</v>
      </c>
      <c r="G7" s="34">
        <v>28907262700586</v>
      </c>
      <c r="H7" s="18">
        <f t="shared" ref="H7:H38" si="0">LEN(G7)</f>
        <v>14</v>
      </c>
      <c r="I7" s="17" t="str">
        <f>IF(H7=14,"ok","rong")</f>
        <v>ok</v>
      </c>
    </row>
    <row r="8" spans="1:9" ht="18" customHeight="1" x14ac:dyDescent="0.2">
      <c r="A8" s="4">
        <v>2</v>
      </c>
      <c r="B8" s="5" t="s">
        <v>62</v>
      </c>
      <c r="C8" s="6" t="s">
        <v>15</v>
      </c>
      <c r="D8" s="6" t="s">
        <v>16</v>
      </c>
      <c r="E8" s="10">
        <v>29901122701693</v>
      </c>
      <c r="F8" s="32" t="s">
        <v>46</v>
      </c>
      <c r="G8" s="34">
        <v>29610092700374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 t="s">
        <v>62</v>
      </c>
      <c r="C9" s="6" t="s">
        <v>16</v>
      </c>
      <c r="D9" s="6" t="s">
        <v>15</v>
      </c>
      <c r="E9" s="10">
        <v>29812292700524</v>
      </c>
      <c r="F9" s="32" t="s">
        <v>46</v>
      </c>
      <c r="G9" s="34">
        <v>29610092700374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 t="s">
        <v>62</v>
      </c>
      <c r="C10" s="6" t="s">
        <v>25</v>
      </c>
      <c r="D10" s="6" t="s">
        <v>47</v>
      </c>
      <c r="E10" s="10">
        <v>26512112701272</v>
      </c>
      <c r="F10" s="32" t="s">
        <v>48</v>
      </c>
      <c r="G10" s="34">
        <v>28509262702486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 t="s">
        <v>62</v>
      </c>
      <c r="C11" s="6" t="s">
        <v>26</v>
      </c>
      <c r="D11" s="6" t="s">
        <v>49</v>
      </c>
      <c r="E11" s="10">
        <v>26910222700935</v>
      </c>
      <c r="F11" s="32" t="s">
        <v>50</v>
      </c>
      <c r="G11" s="34">
        <v>27411092701249</v>
      </c>
      <c r="H11" s="18">
        <f t="shared" si="0"/>
        <v>14</v>
      </c>
      <c r="I11" s="17" t="str">
        <f t="shared" ref="I11:I56" si="1">IF(H11=14,"ok","rong")</f>
        <v>ok</v>
      </c>
    </row>
    <row r="12" spans="1:9" ht="18" customHeight="1" x14ac:dyDescent="0.2">
      <c r="A12" s="4">
        <v>6</v>
      </c>
      <c r="B12" s="5">
        <v>5010</v>
      </c>
      <c r="C12" s="6" t="s">
        <v>32</v>
      </c>
      <c r="D12" s="6" t="s">
        <v>51</v>
      </c>
      <c r="E12" s="10">
        <v>25911232700359</v>
      </c>
      <c r="F12" s="32" t="s">
        <v>52</v>
      </c>
      <c r="G12" s="34">
        <v>27607300101325</v>
      </c>
      <c r="H12" s="18">
        <f t="shared" si="0"/>
        <v>14</v>
      </c>
      <c r="I12" s="17" t="str">
        <f t="shared" si="1"/>
        <v>ok</v>
      </c>
    </row>
    <row r="13" spans="1:9" ht="18" customHeight="1" x14ac:dyDescent="0.2">
      <c r="A13" s="4">
        <v>7</v>
      </c>
      <c r="B13" s="5">
        <v>4790</v>
      </c>
      <c r="C13" s="6" t="s">
        <v>33</v>
      </c>
      <c r="D13" s="6" t="s">
        <v>53</v>
      </c>
      <c r="E13" s="10">
        <v>26106182700216</v>
      </c>
      <c r="F13" s="32" t="s">
        <v>54</v>
      </c>
      <c r="G13" s="34">
        <v>27610272700898</v>
      </c>
      <c r="H13" s="18">
        <f t="shared" si="0"/>
        <v>14</v>
      </c>
      <c r="I13" s="17" t="str">
        <f t="shared" si="1"/>
        <v>ok</v>
      </c>
    </row>
    <row r="14" spans="1:9" ht="18" customHeight="1" x14ac:dyDescent="0.2">
      <c r="A14" s="4">
        <v>8</v>
      </c>
      <c r="B14" s="5">
        <v>5361</v>
      </c>
      <c r="C14" s="6" t="s">
        <v>34</v>
      </c>
      <c r="D14" s="6" t="s">
        <v>55</v>
      </c>
      <c r="E14" s="10">
        <v>29407102702877</v>
      </c>
      <c r="F14" s="32" t="s">
        <v>56</v>
      </c>
      <c r="G14" s="34">
        <v>27212202701026</v>
      </c>
      <c r="H14" s="18">
        <f t="shared" si="0"/>
        <v>14</v>
      </c>
      <c r="I14" s="17" t="str">
        <f t="shared" si="1"/>
        <v>ok</v>
      </c>
    </row>
    <row r="15" spans="1:9" ht="18" customHeight="1" x14ac:dyDescent="0.2">
      <c r="A15" s="4">
        <v>9</v>
      </c>
      <c r="B15" s="5">
        <v>3178</v>
      </c>
      <c r="C15" s="6" t="s">
        <v>35</v>
      </c>
      <c r="D15" s="6" t="s">
        <v>57</v>
      </c>
      <c r="E15" s="10">
        <v>28908132701501</v>
      </c>
      <c r="F15" s="32" t="s">
        <v>58</v>
      </c>
      <c r="G15" s="34">
        <v>27610282700381</v>
      </c>
      <c r="H15" s="18">
        <f t="shared" si="0"/>
        <v>14</v>
      </c>
      <c r="I15" s="17" t="str">
        <f t="shared" si="1"/>
        <v>ok</v>
      </c>
    </row>
    <row r="16" spans="1:9" ht="18" customHeight="1" x14ac:dyDescent="0.2">
      <c r="A16" s="4">
        <v>10</v>
      </c>
      <c r="B16" s="5">
        <v>4681</v>
      </c>
      <c r="C16" s="6" t="s">
        <v>36</v>
      </c>
      <c r="D16" s="6" t="s">
        <v>59</v>
      </c>
      <c r="E16" s="10">
        <v>27212072700537</v>
      </c>
      <c r="F16" s="32" t="s">
        <v>60</v>
      </c>
      <c r="G16" s="34">
        <v>29807012705492</v>
      </c>
      <c r="H16" s="18">
        <f t="shared" si="0"/>
        <v>14</v>
      </c>
      <c r="I16" s="17" t="str">
        <f t="shared" si="1"/>
        <v>ok</v>
      </c>
    </row>
    <row r="17" spans="1:9" ht="18" customHeight="1" x14ac:dyDescent="0.2">
      <c r="A17" s="4">
        <v>11</v>
      </c>
      <c r="B17" s="5">
        <v>3171</v>
      </c>
      <c r="C17" s="6" t="s">
        <v>37</v>
      </c>
      <c r="D17" s="6" t="s">
        <v>61</v>
      </c>
      <c r="E17" s="10">
        <v>29501262701369</v>
      </c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2025-01-30T10:40:20Z</dcterms:modified>
</cp:coreProperties>
</file>