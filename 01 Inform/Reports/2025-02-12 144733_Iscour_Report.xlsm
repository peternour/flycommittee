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 activeTab="2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/>
  <c r="I10" i="6"/>
  <c r="J10" i="6" s="1"/>
  <c r="I9" i="6"/>
  <c r="J9" i="6" s="1"/>
  <c r="I8" i="6"/>
  <c r="J8" i="6" s="1"/>
  <c r="I7" i="6"/>
  <c r="J7" i="6" s="1"/>
  <c r="I7" i="4"/>
  <c r="J7" i="4" s="1"/>
  <c r="I8" i="4"/>
  <c r="J8" i="4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<sst xmlns="http://schemas.openxmlformats.org/spreadsheetml/2006/main" count="91" uniqueCount="54">
  <si>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</si>
  <si>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</si>
  <si>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</si>
  <si>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</si>
  <si>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</si>
  <si>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</si>
  <si>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</si>
  <si>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</si>
  <si>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</si>
  <si>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</si>
  <si>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</si>
  <si>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</si>
  <si>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</si>
  <si>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</si>
  <si>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</si>
  <si>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زينب محمد محمد جابر</t>
  </si>
  <si>
    <t>ساره عدلي زكري محارب</t>
  </si>
  <si>
    <t>شهد احمد حسني مصطفي</t>
  </si>
  <si>
    <t>ناديه وليم ثابت عبدالمسيح</t>
  </si>
  <si>
    <t>ترزي حريمي</t>
  </si>
  <si>
    <t>مينا مخلف</t>
  </si>
  <si>
    <t>القصر</t>
  </si>
  <si>
    <t>ابانوب عاطف</t>
  </si>
  <si>
    <t>الدرب</t>
  </si>
  <si>
    <t>كيرلس عاطف</t>
  </si>
  <si>
    <t>تربية و تسمين ماشية</t>
  </si>
  <si>
    <t>اميل رفعت</t>
  </si>
  <si>
    <t>الرحمانيه</t>
  </si>
  <si>
    <t>سناء ايوب عبدالهادي قاسم</t>
  </si>
  <si>
    <t>بلامون عفت ويصا جريس</t>
  </si>
  <si>
    <t xml:space="preserve">عزه عبدالوهاب عابدين محمد </t>
  </si>
  <si>
    <t>عزيزه جاد محمد سنجاب</t>
  </si>
  <si>
    <t>دشـــــنا</t>
  </si>
  <si>
    <t>صيانة سيارة بغرض البيع او التاجير</t>
  </si>
  <si>
    <t>القناوية</t>
  </si>
  <si>
    <t>صناعة اكسسوار وخرز</t>
  </si>
  <si>
    <t>عزبة نقيب</t>
  </si>
  <si>
    <t>البطحه</t>
  </si>
  <si>
    <t>عبدالفتاح محمود محمد محمود</t>
  </si>
  <si>
    <t>بثينه حمدي سعيد جادالله</t>
  </si>
  <si>
    <t>يوسف عدلي زكري محارب</t>
  </si>
  <si>
    <t>رومانى رفعت وهيب يعقوب</t>
  </si>
  <si>
    <t>حسام حسن كامل اسماعيل</t>
  </si>
  <si>
    <t>كريمه محمد حسن احمد</t>
  </si>
  <si>
    <t>فادي عماد ميلاد بسطنجي</t>
  </si>
  <si>
    <t>ميلاد عماد ميلاد بسطنجي</t>
  </si>
  <si>
    <t>عبدالستار عبدالحميد عبدالستار ابوبكر</t>
  </si>
  <si>
    <t>صابرين حسني احمد عبدالله</t>
  </si>
  <si>
    <t>مني داود سليمان عبدالشهيد</t>
  </si>
  <si>
    <t>برسوم عماد جرس منقريوس</t>
  </si>
  <si>
    <t>قمارات حمدان احمد عوض</t>
  </si>
  <si>
    <t xml:space="preserve">محمود منصور عابدين محمد </t>
  </si>
  <si>
    <t>امنه جاد محمد سنجاب</t>
  </si>
  <si>
    <t xml:space="preserve">انتصار حمدى تهامى على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</si>
</sst>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zoomScaleNormal="100" zoomScaleSheetLayoutView="90" workbookViewId="0">
      <selection activeCell="E7" sqref="E7:H10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6337</v>
      </c>
      <c r="C7" s="6" t="s">
        <v>15</v>
      </c>
      <c r="D7" s="7">
        <v>30103172703281</v>
      </c>
      <c r="E7" s="5" t="s">
        <v>19</v>
      </c>
      <c r="F7" s="7" t="s">
        <v>20</v>
      </c>
      <c r="G7" s="4" t="s">
        <v>21</v>
      </c>
      <c r="H7" s="2">
        <v>20000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6334</v>
      </c>
      <c r="C8" s="6" t="s">
        <v>16</v>
      </c>
      <c r="D8" s="7">
        <v>30011012705189</v>
      </c>
      <c r="E8" s="5" t="s">
        <v>19</v>
      </c>
      <c r="F8" s="7" t="s">
        <v>22</v>
      </c>
      <c r="G8" s="4" t="s">
        <v>23</v>
      </c>
      <c r="H8" s="2">
        <v>17000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>
        <v>6335</v>
      </c>
      <c r="C9" s="9" t="s">
        <v>17</v>
      </c>
      <c r="D9" s="7">
        <v>30401052703882</v>
      </c>
      <c r="E9" s="5" t="s">
        <v>19</v>
      </c>
      <c r="F9" s="7" t="s">
        <v>24</v>
      </c>
      <c r="G9" s="4" t="s">
        <v>23</v>
      </c>
      <c r="H9" s="2">
        <v>30000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>
        <v>6339</v>
      </c>
      <c r="C10" s="6" t="s">
        <v>18</v>
      </c>
      <c r="D10" s="7">
        <v>27701182701068</v>
      </c>
      <c r="E10" s="5" t="s">
        <v>25</v>
      </c>
      <c r="F10" s="7" t="s">
        <v>26</v>
      </c>
      <c r="G10" s="4" t="s">
        <v>27</v>
      </c>
      <c r="H10" s="2">
        <v>34000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2"/>
      <c r="I11" s="18">
        <f t="shared" ref="I11:I56" si="0">LEN(D11)</f>
        <v>0</v>
      </c>
      <c r="J11" s="17" t="str">
        <f t="shared" ref="J11:J56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E7" sqref="E7:H10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5637</v>
      </c>
      <c r="C7" s="6" t="s">
        <v>28</v>
      </c>
      <c r="D7" s="7">
        <v>28208012702286</v>
      </c>
      <c r="E7" s="5" t="s">
        <v>19</v>
      </c>
      <c r="F7" s="7" t="s">
        <v>20</v>
      </c>
      <c r="G7" s="4" t="s">
        <v>32</v>
      </c>
      <c r="H7" s="4">
        <v>20000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4485</v>
      </c>
      <c r="C8" s="6" t="s">
        <v>29</v>
      </c>
      <c r="D8" s="7">
        <v>29508072700298</v>
      </c>
      <c r="E8" s="5" t="s">
        <v>33</v>
      </c>
      <c r="F8" s="7" t="s">
        <v>26</v>
      </c>
      <c r="G8" s="4" t="s">
        <v>34</v>
      </c>
      <c r="H8" s="4">
        <v>20000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>
        <v>5904</v>
      </c>
      <c r="C9" s="9" t="s">
        <v>30</v>
      </c>
      <c r="D9" s="7">
        <v>28107082700484</v>
      </c>
      <c r="E9" s="5" t="s">
        <v>35</v>
      </c>
      <c r="F9" s="7" t="s">
        <v>22</v>
      </c>
      <c r="G9" s="4" t="s">
        <v>36</v>
      </c>
      <c r="H9" s="4">
        <v>30000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>
        <v>6336</v>
      </c>
      <c r="C10" s="6" t="s">
        <v>31</v>
      </c>
      <c r="D10" s="7">
        <v>29210202701144</v>
      </c>
      <c r="E10" s="5" t="s">
        <v>19</v>
      </c>
      <c r="F10" s="7" t="s">
        <v>22</v>
      </c>
      <c r="G10" s="4" t="s">
        <v>37</v>
      </c>
      <c r="H10" s="4">
        <v>20000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4"/>
      <c r="I11" s="18">
        <f t="shared" ref="I11:I49" si="0">LEN(D11)</f>
        <v>0</v>
      </c>
      <c r="J11" s="17" t="str">
        <f t="shared" ref="J11:J49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tabSelected="1" zoomScaleNormal="100" zoomScaleSheetLayoutView="90" workbookViewId="0">
      <selection activeCell="A5" sqref="A5:G5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>
        <v>6337</v>
      </c>
      <c r="C7" s="6" t="s">
        <v>15</v>
      </c>
      <c r="D7" s="6" t="s">
        <v>38</v>
      </c>
      <c r="E7" s="10">
        <v>26512112701272</v>
      </c>
      <c r="F7" s="32" t="s">
        <v>39</v>
      </c>
      <c r="G7" s="34">
        <v>28509262702486</v>
      </c>
      <c r="H7" s="18">
        <f t="shared" ref="H7:H38" si="0">LEN(G7)</f>
        <v>14</v>
      </c>
      <c r="I7" s="17" t="str">
        <f>IF(H7=14,"ok","rong")</f>
        <v>ok</v>
      </c>
    </row>
    <row r="8" spans="1:9" ht="18" customHeight="1" x14ac:dyDescent="0.2">
      <c r="A8" s="4">
        <v>2</v>
      </c>
      <c r="B8" s="5">
        <v>6334</v>
      </c>
      <c r="C8" s="6" t="s">
        <v>16</v>
      </c>
      <c r="D8" s="6" t="s">
        <v>40</v>
      </c>
      <c r="E8" s="10">
        <v>29710012708455</v>
      </c>
      <c r="F8" s="32" t="s">
        <v>41</v>
      </c>
      <c r="G8" s="34">
        <v>28609062702958</v>
      </c>
      <c r="H8" s="18">
        <f t="shared" si="0"/>
        <v>14</v>
      </c>
      <c r="I8" s="17" t="str">
        <f>IF(H8=14,"ok","rong")</f>
        <v>ok</v>
      </c>
    </row>
    <row r="9" spans="1:9" ht="18" customHeight="1" x14ac:dyDescent="0.2">
      <c r="A9" s="4">
        <v>3</v>
      </c>
      <c r="B9" s="5">
        <v>6335</v>
      </c>
      <c r="C9" s="6" t="s">
        <v>17</v>
      </c>
      <c r="D9" s="6" t="s">
        <v>42</v>
      </c>
      <c r="E9" s="10">
        <v>29602122700916</v>
      </c>
      <c r="F9" s="32" t="s">
        <v>43</v>
      </c>
      <c r="G9" s="34">
        <v>27801012704385</v>
      </c>
      <c r="H9" s="18">
        <f t="shared" si="0"/>
        <v>14</v>
      </c>
      <c r="I9" s="17" t="str">
        <f>IF(H9=14,"ok","rong")</f>
        <v>ok</v>
      </c>
    </row>
    <row r="10" spans="1:9" ht="18" customHeight="1" x14ac:dyDescent="0.2">
      <c r="A10" s="4">
        <v>4</v>
      </c>
      <c r="B10" s="5">
        <v>6339</v>
      </c>
      <c r="C10" s="6" t="s">
        <v>18</v>
      </c>
      <c r="D10" s="6" t="s">
        <v>44</v>
      </c>
      <c r="E10" s="10">
        <v>29609022700794</v>
      </c>
      <c r="F10" s="32" t="s">
        <v>45</v>
      </c>
      <c r="G10" s="34">
        <v>29804042701255</v>
      </c>
      <c r="H10" s="18">
        <f t="shared" si="0"/>
        <v>14</v>
      </c>
      <c r="I10" s="17" t="str">
        <f>IF(H10=14,"ok","rong")</f>
        <v>ok</v>
      </c>
    </row>
    <row r="11" spans="1:9" ht="18" customHeight="1" x14ac:dyDescent="0.2">
      <c r="A11" s="4">
        <v>5</v>
      </c>
      <c r="B11" s="5">
        <v>5637</v>
      </c>
      <c r="C11" s="6" t="s">
        <v>28</v>
      </c>
      <c r="D11" s="6" t="s">
        <v>46</v>
      </c>
      <c r="E11" s="10">
        <v>27609242700119</v>
      </c>
      <c r="F11" s="32" t="s">
        <v>47</v>
      </c>
      <c r="G11" s="34">
        <v>30012162600209</v>
      </c>
      <c r="H11" s="18">
        <f t="shared" si="0"/>
        <v>14</v>
      </c>
      <c r="I11" s="17" t="str">
        <f t="shared" ref="I11:I56" si="1">IF(H11=14,"ok","rong")</f>
        <v>ok</v>
      </c>
    </row>
    <row r="12" spans="1:9" ht="18" customHeight="1" x14ac:dyDescent="0.2">
      <c r="A12" s="4">
        <v>6</v>
      </c>
      <c r="B12" s="5">
        <v>4485</v>
      </c>
      <c r="C12" s="6" t="s">
        <v>29</v>
      </c>
      <c r="D12" s="6" t="s">
        <v>48</v>
      </c>
      <c r="E12" s="10">
        <v>27607042700804</v>
      </c>
      <c r="F12" s="32" t="s">
        <v>49</v>
      </c>
      <c r="G12" s="34">
        <v>29612262700334</v>
      </c>
      <c r="H12" s="18">
        <f t="shared" si="0"/>
        <v>14</v>
      </c>
      <c r="I12" s="17" t="str">
        <f t="shared" si="1"/>
        <v>ok</v>
      </c>
    </row>
    <row r="13" spans="1:9" ht="18" customHeight="1" x14ac:dyDescent="0.2">
      <c r="A13" s="4">
        <v>7</v>
      </c>
      <c r="B13" s="5">
        <v>5904</v>
      </c>
      <c r="C13" s="6" t="s">
        <v>30</v>
      </c>
      <c r="D13" s="6" t="s">
        <v>50</v>
      </c>
      <c r="E13" s="10">
        <v>25902022700543</v>
      </c>
      <c r="F13" s="32" t="s">
        <v>51</v>
      </c>
      <c r="G13" s="34">
        <v>28904012702894</v>
      </c>
      <c r="H13" s="18">
        <f t="shared" si="0"/>
        <v>14</v>
      </c>
      <c r="I13" s="17" t="str">
        <f t="shared" si="1"/>
        <v>ok</v>
      </c>
    </row>
    <row r="14" spans="1:9" ht="18" customHeight="1" x14ac:dyDescent="0.2">
      <c r="A14" s="4">
        <v>8</v>
      </c>
      <c r="B14" s="5">
        <v>6336</v>
      </c>
      <c r="C14" s="6" t="s">
        <v>31</v>
      </c>
      <c r="D14" s="6" t="s">
        <v>52</v>
      </c>
      <c r="E14" s="10">
        <v>28711302701066</v>
      </c>
      <c r="F14" s="32" t="s">
        <v>53</v>
      </c>
      <c r="G14" s="34">
        <v>27702092701006</v>
      </c>
      <c r="H14" s="18">
        <f t="shared" si="0"/>
        <v>14</v>
      </c>
      <c r="I14" s="17" t="str">
        <f t="shared" si="1"/>
        <v>ok</v>
      </c>
    </row>
    <row r="15" spans="1:9" ht="18" customHeight="1" x14ac:dyDescent="0.2">
      <c r="A15" s="4">
        <v>9</v>
      </c>
      <c r="B15" s="5"/>
      <c r="C15" s="6"/>
      <c r="D15" s="6"/>
      <c r="E15" s="10"/>
      <c r="F15" s="32"/>
      <c r="G15" s="34"/>
      <c r="H15" s="18">
        <f t="shared" si="0"/>
        <v>0</v>
      </c>
      <c r="I15" s="17" t="str">
        <f t="shared" si="1"/>
        <v>rong</v>
      </c>
    </row>
    <row r="16" spans="1:9" ht="18" customHeight="1" x14ac:dyDescent="0.2">
      <c r="A16" s="4">
        <v>10</v>
      </c>
      <c r="B16" s="5"/>
      <c r="C16" s="6"/>
      <c r="D16" s="6"/>
      <c r="E16" s="10"/>
      <c r="F16" s="32"/>
      <c r="G16" s="34"/>
      <c r="H16" s="18">
        <f t="shared" si="0"/>
        <v>0</v>
      </c>
      <c r="I16" s="17" t="str">
        <f t="shared" si="1"/>
        <v>rong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2025-02-12T12:50:31Z</dcterms:modified>
</cp:coreProperties>
</file>